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00000000-0000-0000-0000-000000000000}"/>
  <workbookPr showInkAnnotation="0" codeName="ThisWorkbook" hidePivotFieldList="1" autoCompressPictures="0"/>
  <bookViews>
    <workbookView xWindow="4580" yWindow="0" windowWidth="25600" windowHeight="19340" tabRatio="500"/>
  </bookViews>
  <sheets>
    <sheet name="Cuentas" sheetId="32" r:id="rId1"/>
    <sheet name="lotoideas" sheetId="19" r:id="rId2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53" i="32" l="1"/>
  <c r="F6" i="32"/>
  <c r="F7" i="32"/>
  <c r="F8" i="32"/>
  <c r="F9" i="32"/>
  <c r="F10" i="32"/>
  <c r="F11" i="32"/>
  <c r="F12" i="32"/>
  <c r="F13" i="32"/>
  <c r="F14" i="32"/>
  <c r="F15" i="32"/>
  <c r="F16" i="32"/>
  <c r="F17" i="32"/>
  <c r="F18" i="32"/>
  <c r="F19" i="32"/>
  <c r="F20" i="32"/>
  <c r="F21" i="32"/>
  <c r="F22" i="32"/>
  <c r="F23" i="32"/>
  <c r="F24" i="32"/>
  <c r="F25" i="32"/>
  <c r="F26" i="32"/>
  <c r="F27" i="32"/>
  <c r="F28" i="32"/>
  <c r="F29" i="32"/>
  <c r="F30" i="32"/>
  <c r="F31" i="32"/>
  <c r="F32" i="32"/>
  <c r="F33" i="32"/>
  <c r="F34" i="32"/>
  <c r="F35" i="32"/>
  <c r="F36" i="32"/>
  <c r="F37" i="32"/>
  <c r="F38" i="32"/>
  <c r="F39" i="32"/>
  <c r="F40" i="32"/>
  <c r="F41" i="32"/>
  <c r="F42" i="32"/>
  <c r="F43" i="32"/>
  <c r="F44" i="32"/>
  <c r="F45" i="32"/>
  <c r="F46" i="32"/>
  <c r="F47" i="32"/>
  <c r="F48" i="32"/>
  <c r="F49" i="32"/>
  <c r="F50" i="32"/>
  <c r="F51" i="32"/>
  <c r="F52" i="32"/>
  <c r="F53" i="32"/>
  <c r="F54" i="32"/>
  <c r="F55" i="32"/>
  <c r="F56" i="32"/>
  <c r="F57" i="32"/>
  <c r="F58" i="32"/>
  <c r="F59" i="32"/>
  <c r="F60" i="32"/>
  <c r="F61" i="32"/>
  <c r="F62" i="32"/>
  <c r="F63" i="32"/>
  <c r="F64" i="32"/>
  <c r="F65" i="32"/>
  <c r="F66" i="32"/>
  <c r="F67" i="32"/>
  <c r="F68" i="32"/>
  <c r="F69" i="32"/>
  <c r="F70" i="32"/>
  <c r="F71" i="32"/>
  <c r="F72" i="32"/>
  <c r="F73" i="32"/>
  <c r="F74" i="32"/>
  <c r="F75" i="32"/>
  <c r="F76" i="32"/>
  <c r="F77" i="32"/>
  <c r="F78" i="32"/>
  <c r="F79" i="32"/>
  <c r="F80" i="32"/>
  <c r="F81" i="32"/>
  <c r="F82" i="32"/>
  <c r="F83" i="32"/>
  <c r="F84" i="32"/>
  <c r="F85" i="32"/>
  <c r="F86" i="32"/>
  <c r="F87" i="32"/>
  <c r="F88" i="32"/>
  <c r="F89" i="32"/>
  <c r="F90" i="32"/>
  <c r="F91" i="32"/>
  <c r="F92" i="32"/>
  <c r="F93" i="32"/>
  <c r="F94" i="32"/>
  <c r="F95" i="32"/>
  <c r="F96" i="32"/>
  <c r="F97" i="32"/>
  <c r="F98" i="32"/>
  <c r="F99" i="32"/>
  <c r="F100" i="32"/>
  <c r="F101" i="32"/>
  <c r="F102" i="32"/>
  <c r="F103" i="32"/>
  <c r="F104" i="32"/>
  <c r="F105" i="32"/>
  <c r="F106" i="32"/>
  <c r="F107" i="32"/>
  <c r="F108" i="32"/>
  <c r="F109" i="32"/>
  <c r="F110" i="32"/>
  <c r="F111" i="32"/>
  <c r="F112" i="32"/>
  <c r="F113" i="32"/>
  <c r="F114" i="32"/>
  <c r="F115" i="32"/>
  <c r="F116" i="32"/>
  <c r="F117" i="32"/>
  <c r="F118" i="32"/>
  <c r="F119" i="32"/>
  <c r="F120" i="32"/>
  <c r="F121" i="32"/>
  <c r="F122" i="32"/>
  <c r="F123" i="32"/>
  <c r="F124" i="32"/>
  <c r="F125" i="32"/>
  <c r="F126" i="32"/>
  <c r="F127" i="32"/>
  <c r="F128" i="32"/>
  <c r="F129" i="32"/>
  <c r="F130" i="32"/>
  <c r="F131" i="32"/>
  <c r="F132" i="32"/>
  <c r="F133" i="32"/>
  <c r="F134" i="32"/>
  <c r="F135" i="32"/>
  <c r="F136" i="32"/>
  <c r="F137" i="32"/>
  <c r="F138" i="32"/>
  <c r="F139" i="32"/>
  <c r="F140" i="32"/>
  <c r="F141" i="32"/>
  <c r="F142" i="32"/>
  <c r="F143" i="32"/>
  <c r="F144" i="32"/>
  <c r="F145" i="32"/>
  <c r="F146" i="32"/>
  <c r="F147" i="32"/>
  <c r="F148" i="32"/>
  <c r="F149" i="32"/>
  <c r="F150" i="32"/>
  <c r="F151" i="32"/>
  <c r="F152" i="32"/>
  <c r="F153" i="32"/>
  <c r="G152" i="32"/>
  <c r="G151" i="32"/>
  <c r="G150" i="32"/>
  <c r="G149" i="32"/>
  <c r="G148" i="32"/>
  <c r="F5" i="32"/>
  <c r="G147" i="32"/>
  <c r="G146" i="32"/>
  <c r="G145" i="32"/>
  <c r="G144" i="32"/>
  <c r="G143" i="32"/>
  <c r="G142" i="32"/>
  <c r="G141" i="32"/>
  <c r="G140" i="32"/>
  <c r="G138" i="32"/>
  <c r="G136" i="32"/>
  <c r="G137" i="32"/>
  <c r="G134" i="32"/>
  <c r="G133" i="32"/>
  <c r="G132" i="32"/>
  <c r="G131" i="32"/>
  <c r="G130" i="32"/>
  <c r="G129" i="32"/>
  <c r="G128" i="32"/>
  <c r="G127" i="32"/>
  <c r="G126" i="32"/>
  <c r="G125" i="32"/>
  <c r="G124" i="32"/>
  <c r="G123" i="32"/>
  <c r="G122" i="32"/>
  <c r="G121" i="32"/>
  <c r="G120" i="32"/>
  <c r="G119" i="32"/>
  <c r="G118" i="32"/>
  <c r="G117" i="32"/>
  <c r="G116" i="32"/>
  <c r="G114" i="32"/>
  <c r="G112" i="32"/>
  <c r="G113" i="32"/>
  <c r="G111" i="32"/>
  <c r="G110" i="32"/>
  <c r="G109" i="32"/>
  <c r="G108" i="32"/>
  <c r="F154" i="32"/>
  <c r="D154" i="32"/>
  <c r="E154" i="32"/>
  <c r="C154" i="32"/>
  <c r="G107" i="32"/>
  <c r="G106" i="32"/>
  <c r="G105" i="32"/>
  <c r="G104" i="32"/>
  <c r="G103" i="32"/>
  <c r="G154" i="32"/>
  <c r="G100" i="32"/>
  <c r="G101" i="32"/>
  <c r="G102" i="32"/>
  <c r="G99" i="32"/>
  <c r="G85" i="32"/>
  <c r="G86" i="32"/>
  <c r="G87" i="32"/>
  <c r="G88" i="32"/>
  <c r="G89" i="32"/>
  <c r="G90" i="32"/>
  <c r="G91" i="32"/>
  <c r="G92" i="32"/>
  <c r="G93" i="32"/>
  <c r="G94" i="32"/>
  <c r="G95" i="32"/>
  <c r="G96" i="32"/>
  <c r="G97" i="32"/>
  <c r="G84" i="32"/>
  <c r="G69" i="32"/>
  <c r="G70" i="32"/>
  <c r="G71" i="32"/>
  <c r="G72" i="32"/>
  <c r="G73" i="32"/>
  <c r="G74" i="32"/>
  <c r="G75" i="32"/>
  <c r="G76" i="32"/>
  <c r="G77" i="32"/>
  <c r="G78" i="32"/>
  <c r="G79" i="32"/>
  <c r="G80" i="32"/>
  <c r="G81" i="32"/>
  <c r="G82" i="32"/>
  <c r="G68" i="32"/>
  <c r="G51" i="32"/>
  <c r="G52" i="32"/>
  <c r="G53" i="32"/>
  <c r="G54" i="32"/>
  <c r="G55" i="32"/>
  <c r="G56" i="32"/>
  <c r="G57" i="32"/>
  <c r="G58" i="32"/>
  <c r="G59" i="32"/>
  <c r="G60" i="32"/>
  <c r="G61" i="32"/>
  <c r="G62" i="32"/>
  <c r="G63" i="32"/>
  <c r="G64" i="32"/>
  <c r="G65" i="32"/>
  <c r="G66" i="32"/>
  <c r="G50" i="32"/>
  <c r="G40" i="32"/>
  <c r="G41" i="32"/>
  <c r="G42" i="32"/>
  <c r="G43" i="32"/>
  <c r="G44" i="32"/>
  <c r="G45" i="32"/>
  <c r="G46" i="32"/>
  <c r="G47" i="32"/>
  <c r="G48" i="32"/>
  <c r="G39" i="32"/>
  <c r="G37" i="32"/>
  <c r="G24" i="32"/>
  <c r="G25" i="32"/>
  <c r="G26" i="32"/>
  <c r="G27" i="32"/>
  <c r="G28" i="32"/>
  <c r="G29" i="32"/>
  <c r="G30" i="32"/>
  <c r="G31" i="32"/>
  <c r="G32" i="32"/>
  <c r="G33" i="32"/>
  <c r="G34" i="32"/>
  <c r="G35" i="32"/>
  <c r="G36" i="32"/>
  <c r="G23" i="32"/>
  <c r="G17" i="32"/>
  <c r="G18" i="32"/>
  <c r="G19" i="32"/>
  <c r="G20" i="32"/>
  <c r="G21" i="32"/>
  <c r="G16" i="32"/>
  <c r="G15" i="32"/>
  <c r="G14" i="32"/>
  <c r="G13" i="32"/>
  <c r="G12" i="32"/>
  <c r="G7" i="32"/>
  <c r="G8" i="32"/>
  <c r="G9" i="32"/>
  <c r="G10" i="32"/>
  <c r="G6" i="32"/>
  <c r="U81" i="32"/>
  <c r="T81" i="32"/>
  <c r="S81" i="32"/>
  <c r="R81" i="32"/>
  <c r="Q81" i="32"/>
  <c r="P81" i="32"/>
  <c r="N81" i="32"/>
  <c r="M81" i="32"/>
  <c r="L81" i="32"/>
  <c r="K81" i="32"/>
  <c r="J81" i="32"/>
  <c r="I81" i="32"/>
</calcChain>
</file>

<file path=xl/connections.xml><?xml version="1.0" encoding="utf-8"?>
<connections xmlns="http://schemas.openxmlformats.org/spreadsheetml/2006/main">
  <connection id="1" name="10 N£meros al 4 por 3 apuestas - Garant°a 4 si 6-2.txt" type="6" refreshedVersion="0" background="1" saveData="1">
    <textPr fileType="mac" sourceFile="Harddrive SSD:Users:jaleo:Downloads:10 N£meros al 4 por 3 apuestas - Garant°a 4 si 6-2.txt" decimal="," thousands="." comma="1">
      <textFields count="6">
        <textField/>
        <textField/>
        <textField/>
        <textField/>
        <textField/>
        <textField/>
      </textFields>
    </textPr>
  </connection>
  <connection id="2" name="15 N£meros al 2 por 13 apuestas - Garant°a 2 si 2.txt" type="6" refreshedVersion="0" background="1" saveData="1">
    <textPr fileType="mac" sourceFile="Harddrive SSD:Users:jaleo:Downloads:15 N£meros al 2 por 13 apuestas - Garant°a 2 si 2.txt" decimal="," thousands="." comma="1">
      <textFields count="5">
        <textField/>
        <textField/>
        <textField/>
        <textField/>
        <textField/>
      </textFields>
    </textPr>
  </connection>
  <connection id="3" name="22 N£meros al 3 por 15 apuestas - Garant°a 3 si 6.txt" type="6" refreshedVersion="0" background="1" saveData="1">
    <textPr fileType="mac" sourceFile="Harddrive SSD:Users:jaleo:Downloads:22 N£meros al 3 por 15 apuestas - Garant°a 3 si 6.txt" decimal="," thousands="." comma="1">
      <textFields count="6">
        <textField/>
        <textField/>
        <textField/>
        <textField/>
        <textField/>
        <textField/>
      </textFields>
    </textPr>
  </connection>
  <connection id="4" name="25 N£meros al 3 por 22 apuestas - Garant°a 3 si 6.txt" type="6" refreshedVersion="0" background="1" saveData="1">
    <textPr fileType="mac" sourceFile="Harddrive SSD:Users:jaleo:Downloads:25 N£meros al 3 por 22 apuestas - Garant°a 3 si 6.txt" decimal="," thousands="." comma="1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<sst xmlns="http://schemas.openxmlformats.org/spreadsheetml/2006/main" count="280" uniqueCount="107">
  <si>
    <t xml:space="preserve"> </t>
  </si>
  <si>
    <t>www.lotoideas.com</t>
  </si>
  <si>
    <t>PUNTO DE VENTA Nº 36845</t>
  </si>
  <si>
    <t>Fecha</t>
  </si>
  <si>
    <t>Premio</t>
  </si>
  <si>
    <t>Situación cuentas Quinielas / Loterias</t>
  </si>
  <si>
    <t>Aciertos 14</t>
  </si>
  <si>
    <t>Aciertos reales</t>
  </si>
  <si>
    <t>Jnd</t>
  </si>
  <si>
    <t>Aportación</t>
  </si>
  <si>
    <t>Gasto</t>
  </si>
  <si>
    <t>Saldo</t>
  </si>
  <si>
    <t>Cobertura</t>
  </si>
  <si>
    <t>P</t>
  </si>
  <si>
    <t>E</t>
  </si>
  <si>
    <t>Totales</t>
  </si>
  <si>
    <t>10 y 12/3/16</t>
  </si>
  <si>
    <t>17 y 19/3/16</t>
  </si>
  <si>
    <t>24 y 26/3/16</t>
  </si>
  <si>
    <t>31/3 y 2/4</t>
  </si>
  <si>
    <t>7/4 y 9/4</t>
  </si>
  <si>
    <t>14/4 y 16/4</t>
  </si>
  <si>
    <t>21/4 y 23/4</t>
  </si>
  <si>
    <t>28/4 y 30/4</t>
  </si>
  <si>
    <t>5/5 y 7/5</t>
  </si>
  <si>
    <t>12/5 y 14/5</t>
  </si>
  <si>
    <t>19/5 y 21/5</t>
  </si>
  <si>
    <t>26/5 y 28/5</t>
  </si>
  <si>
    <t>2/6 y 4/6</t>
  </si>
  <si>
    <t>9/6 y 11/6</t>
  </si>
  <si>
    <t>3 aciertos</t>
  </si>
  <si>
    <t>16/6 y 18/6</t>
  </si>
  <si>
    <t>23/6 y 25/6</t>
  </si>
  <si>
    <t>30/6 y 2/7</t>
  </si>
  <si>
    <t>7/7 i  9/7</t>
  </si>
  <si>
    <t>14/7 i 16/7</t>
  </si>
  <si>
    <t>21/7 i 23/7</t>
  </si>
  <si>
    <t>Reintegro</t>
  </si>
  <si>
    <t>4/8 i 6/8</t>
  </si>
  <si>
    <t>11/8 i 13/8</t>
  </si>
  <si>
    <t>25/8 i 27/8</t>
  </si>
  <si>
    <t>1/9 i 3/9</t>
  </si>
  <si>
    <t>8/9 i 10/9</t>
  </si>
  <si>
    <t>15/9 i 17/9</t>
  </si>
  <si>
    <t>22/9 i 24/9</t>
  </si>
  <si>
    <t>29/9 i 1/10</t>
  </si>
  <si>
    <t>6/10 i 8/10</t>
  </si>
  <si>
    <t>13/10 i 5/10</t>
  </si>
  <si>
    <t>20/10 i 22/10</t>
  </si>
  <si>
    <t>27/10 i 29/10</t>
  </si>
  <si>
    <t>03/11 i 05/11</t>
  </si>
  <si>
    <t>10/11 i 12/11</t>
  </si>
  <si>
    <t>24/11 i 26/11</t>
  </si>
  <si>
    <t>1/12 i 3/12</t>
  </si>
  <si>
    <t>8/12 i 10/12</t>
  </si>
  <si>
    <t>15/12 i 17/12</t>
  </si>
  <si>
    <t>22/12 i 24/12</t>
  </si>
  <si>
    <t>5/12 i 7/12</t>
  </si>
  <si>
    <t>12/1 i 14/1</t>
  </si>
  <si>
    <t>19/1 i 21/1</t>
  </si>
  <si>
    <t>2/2 i 4/2</t>
  </si>
  <si>
    <t>9/2 i 11/2</t>
  </si>
  <si>
    <t>16/2 i 18/2</t>
  </si>
  <si>
    <t>23/2 i 25/2</t>
  </si>
  <si>
    <t>2/3 i 4/2</t>
  </si>
  <si>
    <t>9/3 i 11/2</t>
  </si>
  <si>
    <t>16/3 i 18/2</t>
  </si>
  <si>
    <t>23/3 i 25/2</t>
  </si>
  <si>
    <t>30/3 i 1/4</t>
  </si>
  <si>
    <t>6/ i 8/4</t>
  </si>
  <si>
    <t>13/4 i 15/4</t>
  </si>
  <si>
    <t>20/4 i 22/4</t>
  </si>
  <si>
    <t>27/4 i 29/4</t>
  </si>
  <si>
    <t>4/5 i 6/5</t>
  </si>
  <si>
    <t>11/5 i 13/5</t>
  </si>
  <si>
    <t>18/8 i 20/8</t>
  </si>
  <si>
    <t>18/5 i 20/5</t>
  </si>
  <si>
    <t>25/5 i 27/5</t>
  </si>
  <si>
    <t>15/6 i 17/6</t>
  </si>
  <si>
    <t>8/6 i 10/6</t>
  </si>
  <si>
    <t>1/6 i 3/6</t>
  </si>
  <si>
    <t>22/6 i 24/6</t>
  </si>
  <si>
    <t>6/7 i 8/7</t>
  </si>
  <si>
    <t>13/7 i 15/7</t>
  </si>
  <si>
    <t>29/6 i 1/7</t>
  </si>
  <si>
    <t>20/7 i 22/7</t>
  </si>
  <si>
    <t>27/7 i 29/7</t>
  </si>
  <si>
    <t>3/8 i 5/8</t>
  </si>
  <si>
    <t>10/8 i 12/8</t>
  </si>
  <si>
    <t>24/8 i 26/8</t>
  </si>
  <si>
    <t>31/8 i 2/9</t>
  </si>
  <si>
    <t>7/9 i 9/9</t>
  </si>
  <si>
    <t>14/9 i 16/9</t>
  </si>
  <si>
    <t>28/9 i 30/9</t>
  </si>
  <si>
    <t>5/10 i 7/10</t>
  </si>
  <si>
    <t>19/10 i 21/10</t>
  </si>
  <si>
    <t>2/11 i 4/11</t>
  </si>
  <si>
    <t>9/11 i 11/11</t>
  </si>
  <si>
    <t>16/11 i 18/11</t>
  </si>
  <si>
    <t>23/11 i 25/11</t>
  </si>
  <si>
    <t>30/11 i 2/12</t>
  </si>
  <si>
    <t>7/11 i 9/12</t>
  </si>
  <si>
    <t>14/12 i 15/12</t>
  </si>
  <si>
    <t xml:space="preserve"> 21/12</t>
  </si>
  <si>
    <t>2 aciertos</t>
  </si>
  <si>
    <t>2+1 aciertos</t>
  </si>
  <si>
    <t>Mi aportación como compensación a los postres de la comida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</si>
</sst>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sz val="22"/>
      <color theme="1"/>
      <name val="Calibri"/>
      <scheme val="minor"/>
    </font>
    <font>
      <i/>
      <sz val="12"/>
      <color theme="1"/>
      <name val="Calibri"/>
      <scheme val="minor"/>
    </font>
    <font>
      <b/>
      <sz val="12"/>
      <color rgb="FFFF0000"/>
      <name val="Calibri"/>
      <scheme val="minor"/>
    </font>
    <font>
      <b/>
      <u/>
      <sz val="14"/>
      <color rgb="FF0000FF"/>
      <name val="Arial"/>
    </font>
    <font>
      <b/>
      <sz val="12"/>
      <name val="Arial"/>
    </font>
    <font>
      <sz val="12"/>
      <name val="Calibri"/>
      <scheme val="minor"/>
    </font>
    <font>
      <sz val="12"/>
      <color rgb="FFFF0000"/>
      <name val="Calibri"/>
      <family val="2"/>
      <scheme val="minor"/>
    </font>
    <font>
      <sz val="26"/>
      <color theme="1"/>
      <name val="Calibri"/>
      <scheme val="minor"/>
    </font>
    <font>
      <b/>
      <i/>
      <sz val="12"/>
      <color theme="1"/>
      <name val="Calibri"/>
      <scheme val="minor"/>
    </font>
    <font>
      <i/>
      <sz val="12"/>
      <color rgb="FFFF0000"/>
      <name val="Calibri"/>
      <scheme val="minor"/>
    </font>
    <font>
      <b/>
      <i/>
      <sz val="12"/>
      <color rgb="FFFF0000"/>
      <name val="Calibri"/>
      <scheme val="minor"/>
    </font>
    <font>
      <b/>
      <sz val="12"/>
      <color rgb="FF0000FF"/>
      <name val="Calibri"/>
      <scheme val="minor"/>
    </font>
    <font>
      <sz val="12"/>
      <color rgb="FF0000FF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CC"/>
        <bgColor rgb="FF000000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</borders>
  <cellStyleXfs count="39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46">
    <xf numFmtId="0" fontId="0" fillId="0" borderId="0" xfId="0"/>
    <xf numFmtId="0" fontId="0" fillId="0" borderId="0" xfId="0" applyBorder="1"/>
    <xf numFmtId="0" fontId="0" fillId="0" borderId="0" xfId="0" applyFont="1" applyAlignment="1">
      <alignment wrapText="1"/>
    </xf>
    <xf numFmtId="0" fontId="0" fillId="0" borderId="1" xfId="0" applyBorder="1"/>
    <xf numFmtId="10" fontId="0" fillId="0" borderId="0" xfId="0" applyNumberFormat="1"/>
    <xf numFmtId="0" fontId="0" fillId="0" borderId="11" xfId="0" applyBorder="1"/>
    <xf numFmtId="0" fontId="0" fillId="0" borderId="5" xfId="0" applyBorder="1"/>
    <xf numFmtId="0" fontId="13" fillId="0" borderId="0" xfId="0" applyFont="1"/>
    <xf numFmtId="1" fontId="6" fillId="0" borderId="0" xfId="0" applyNumberFormat="1" applyFont="1" applyAlignment="1">
      <alignment horizontal="center"/>
    </xf>
    <xf numFmtId="2" fontId="0" fillId="0" borderId="0" xfId="0" applyNumberFormat="1"/>
    <xf numFmtId="10" fontId="0" fillId="0" borderId="0" xfId="0" applyNumberFormat="1" applyBorder="1"/>
    <xf numFmtId="1" fontId="0" fillId="0" borderId="0" xfId="0" applyNumberFormat="1" applyAlignment="1">
      <alignment horizontal="center"/>
    </xf>
    <xf numFmtId="0" fontId="14" fillId="2" borderId="23" xfId="0" applyFont="1" applyFill="1" applyBorder="1" applyAlignment="1">
      <alignment horizontal="center"/>
    </xf>
    <xf numFmtId="1" fontId="14" fillId="2" borderId="24" xfId="0" applyNumberFormat="1" applyFont="1" applyFill="1" applyBorder="1" applyAlignment="1">
      <alignment horizontal="center"/>
    </xf>
    <xf numFmtId="2" fontId="14" fillId="2" borderId="25" xfId="0" applyNumberFormat="1" applyFont="1" applyFill="1" applyBorder="1" applyAlignment="1">
      <alignment horizontal="right"/>
    </xf>
    <xf numFmtId="2" fontId="14" fillId="2" borderId="26" xfId="0" applyNumberFormat="1" applyFont="1" applyFill="1" applyBorder="1" applyAlignment="1">
      <alignment horizontal="right"/>
    </xf>
    <xf numFmtId="10" fontId="14" fillId="2" borderId="20" xfId="0" applyNumberFormat="1" applyFont="1" applyFill="1" applyBorder="1" applyAlignment="1">
      <alignment horizontal="right"/>
    </xf>
    <xf numFmtId="10" fontId="14" fillId="3" borderId="0" xfId="0" applyNumberFormat="1" applyFont="1" applyFill="1" applyBorder="1" applyAlignment="1">
      <alignment horizontal="center"/>
    </xf>
    <xf numFmtId="0" fontId="2" fillId="2" borderId="23" xfId="0" applyFont="1" applyFill="1" applyBorder="1"/>
    <xf numFmtId="0" fontId="2" fillId="2" borderId="25" xfId="0" applyFont="1" applyFill="1" applyBorder="1"/>
    <xf numFmtId="0" fontId="2" fillId="2" borderId="20" xfId="0" applyFont="1" applyFill="1" applyBorder="1"/>
    <xf numFmtId="14" fontId="15" fillId="3" borderId="21" xfId="0" applyNumberFormat="1" applyFont="1" applyFill="1" applyBorder="1" applyAlignment="1">
      <alignment horizontal="right"/>
    </xf>
    <xf numFmtId="1" fontId="15" fillId="3" borderId="0" xfId="0" applyNumberFormat="1" applyFont="1" applyFill="1" applyBorder="1" applyAlignment="1">
      <alignment horizontal="center"/>
    </xf>
    <xf numFmtId="2" fontId="16" fillId="3" borderId="0" xfId="0" applyNumberFormat="1" applyFont="1" applyFill="1" applyBorder="1" applyAlignment="1">
      <alignment horizontal="right"/>
    </xf>
    <xf numFmtId="2" fontId="15" fillId="3" borderId="0" xfId="0" applyNumberFormat="1" applyFont="1" applyFill="1" applyBorder="1" applyAlignment="1">
      <alignment horizontal="right"/>
    </xf>
    <xf numFmtId="10" fontId="15" fillId="3" borderId="0" xfId="0" applyNumberFormat="1" applyFont="1" applyFill="1" applyBorder="1" applyAlignment="1">
      <alignment horizontal="right"/>
    </xf>
    <xf numFmtId="0" fontId="12" fillId="0" borderId="0" xfId="0" applyFont="1" applyBorder="1"/>
    <xf numFmtId="0" fontId="12" fillId="0" borderId="0" xfId="0" applyFont="1"/>
    <xf numFmtId="14" fontId="0" fillId="0" borderId="16" xfId="0" applyNumberFormat="1" applyBorder="1"/>
    <xf numFmtId="1" fontId="0" fillId="0" borderId="17" xfId="0" applyNumberFormat="1" applyBorder="1" applyAlignment="1">
      <alignment horizontal="center"/>
    </xf>
    <xf numFmtId="2" fontId="0" fillId="0" borderId="17" xfId="0" applyNumberFormat="1" applyBorder="1"/>
    <xf numFmtId="2" fontId="2" fillId="0" borderId="17" xfId="0" applyNumberFormat="1" applyFont="1" applyBorder="1"/>
    <xf numFmtId="2" fontId="7" fillId="3" borderId="17" xfId="0" applyNumberFormat="1" applyFont="1" applyFill="1" applyBorder="1" applyAlignment="1">
      <alignment horizontal="right"/>
    </xf>
    <xf numFmtId="10" fontId="0" fillId="0" borderId="18" xfId="0" applyNumberFormat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14" fontId="0" fillId="0" borderId="10" xfId="0" applyNumberFormat="1" applyBorder="1"/>
    <xf numFmtId="1" fontId="0" fillId="0" borderId="1" xfId="0" applyNumberFormat="1" applyBorder="1" applyAlignment="1">
      <alignment horizontal="center"/>
    </xf>
    <xf numFmtId="2" fontId="0" fillId="0" borderId="1" xfId="0" applyNumberFormat="1" applyBorder="1"/>
    <xf numFmtId="2" fontId="2" fillId="0" borderId="1" xfId="0" applyNumberFormat="1" applyFont="1" applyBorder="1"/>
    <xf numFmtId="2" fontId="7" fillId="3" borderId="1" xfId="0" applyNumberFormat="1" applyFont="1" applyFill="1" applyBorder="1" applyAlignment="1">
      <alignment horizontal="right"/>
    </xf>
    <xf numFmtId="10" fontId="0" fillId="0" borderId="11" xfId="0" applyNumberFormat="1" applyBorder="1"/>
    <xf numFmtId="0" fontId="0" fillId="0" borderId="10" xfId="0" applyBorder="1"/>
    <xf numFmtId="14" fontId="0" fillId="0" borderId="14" xfId="0" applyNumberFormat="1" applyBorder="1"/>
    <xf numFmtId="1" fontId="0" fillId="0" borderId="5" xfId="0" applyNumberFormat="1" applyBorder="1" applyAlignment="1">
      <alignment horizontal="center"/>
    </xf>
    <xf numFmtId="2" fontId="0" fillId="0" borderId="5" xfId="0" applyNumberFormat="1" applyBorder="1"/>
    <xf numFmtId="2" fontId="2" fillId="0" borderId="5" xfId="0" applyNumberFormat="1" applyFont="1" applyBorder="1"/>
    <xf numFmtId="2" fontId="7" fillId="3" borderId="5" xfId="0" applyNumberFormat="1" applyFont="1" applyFill="1" applyBorder="1" applyAlignment="1">
      <alignment horizontal="right"/>
    </xf>
    <xf numFmtId="10" fontId="0" fillId="0" borderId="15" xfId="0" applyNumberFormat="1" applyBorder="1"/>
    <xf numFmtId="0" fontId="0" fillId="0" borderId="14" xfId="0" applyBorder="1"/>
    <xf numFmtId="0" fontId="0" fillId="0" borderId="15" xfId="0" applyBorder="1"/>
    <xf numFmtId="1" fontId="12" fillId="0" borderId="0" xfId="0" applyNumberFormat="1" applyFont="1" applyBorder="1" applyAlignment="1">
      <alignment horizontal="center"/>
    </xf>
    <xf numFmtId="2" fontId="8" fillId="0" borderId="0" xfId="0" applyNumberFormat="1" applyFont="1" applyBorder="1"/>
    <xf numFmtId="10" fontId="12" fillId="0" borderId="0" xfId="0" applyNumberFormat="1" applyFont="1" applyBorder="1"/>
    <xf numFmtId="14" fontId="17" fillId="0" borderId="10" xfId="0" applyNumberFormat="1" applyFont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12" xfId="0" applyBorder="1"/>
    <xf numFmtId="0" fontId="0" fillId="0" borderId="9" xfId="0" applyBorder="1"/>
    <xf numFmtId="0" fontId="0" fillId="0" borderId="13" xfId="0" applyBorder="1"/>
    <xf numFmtId="14" fontId="0" fillId="3" borderId="10" xfId="0" applyNumberFormat="1" applyFill="1" applyBorder="1"/>
    <xf numFmtId="1" fontId="0" fillId="3" borderId="1" xfId="0" applyNumberFormat="1" applyFill="1" applyBorder="1" applyAlignment="1">
      <alignment horizontal="center"/>
    </xf>
    <xf numFmtId="2" fontId="0" fillId="3" borderId="1" xfId="0" applyNumberFormat="1" applyFill="1" applyBorder="1"/>
    <xf numFmtId="2" fontId="2" fillId="3" borderId="1" xfId="0" applyNumberFormat="1" applyFont="1" applyFill="1" applyBorder="1"/>
    <xf numFmtId="14" fontId="17" fillId="3" borderId="10" xfId="0" applyNumberFormat="1" applyFont="1" applyFill="1" applyBorder="1"/>
    <xf numFmtId="2" fontId="17" fillId="3" borderId="1" xfId="0" applyNumberFormat="1" applyFont="1" applyFill="1" applyBorder="1"/>
    <xf numFmtId="14" fontId="0" fillId="3" borderId="14" xfId="0" applyNumberFormat="1" applyFill="1" applyBorder="1"/>
    <xf numFmtId="1" fontId="0" fillId="3" borderId="5" xfId="0" applyNumberFormat="1" applyFill="1" applyBorder="1" applyAlignment="1">
      <alignment horizontal="center"/>
    </xf>
    <xf numFmtId="2" fontId="0" fillId="3" borderId="5" xfId="0" applyNumberFormat="1" applyFill="1" applyBorder="1"/>
    <xf numFmtId="2" fontId="2" fillId="3" borderId="5" xfId="0" applyNumberFormat="1" applyFont="1" applyFill="1" applyBorder="1"/>
    <xf numFmtId="14" fontId="12" fillId="0" borderId="21" xfId="0" applyNumberFormat="1" applyFont="1" applyBorder="1"/>
    <xf numFmtId="14" fontId="18" fillId="0" borderId="10" xfId="0" applyNumberFormat="1" applyFont="1" applyBorder="1"/>
    <xf numFmtId="1" fontId="18" fillId="0" borderId="1" xfId="0" applyNumberFormat="1" applyFont="1" applyBorder="1" applyAlignment="1">
      <alignment horizontal="center"/>
    </xf>
    <xf numFmtId="2" fontId="18" fillId="0" borderId="1" xfId="0" applyNumberFormat="1" applyFont="1" applyBorder="1"/>
    <xf numFmtId="2" fontId="17" fillId="0" borderId="1" xfId="0" applyNumberFormat="1" applyFont="1" applyBorder="1"/>
    <xf numFmtId="10" fontId="0" fillId="3" borderId="0" xfId="0" applyNumberFormat="1" applyFill="1" applyBorder="1"/>
    <xf numFmtId="0" fontId="0" fillId="3" borderId="10" xfId="0" applyFill="1" applyBorder="1"/>
    <xf numFmtId="0" fontId="0" fillId="3" borderId="1" xfId="0" applyFill="1" applyBorder="1"/>
    <xf numFmtId="0" fontId="0" fillId="3" borderId="11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10" fontId="2" fillId="4" borderId="0" xfId="0" applyNumberFormat="1" applyFont="1" applyFill="1" applyBorder="1"/>
    <xf numFmtId="0" fontId="0" fillId="4" borderId="14" xfId="0" applyFill="1" applyBorder="1"/>
    <xf numFmtId="0" fontId="0" fillId="4" borderId="5" xfId="0" applyFill="1" applyBorder="1"/>
    <xf numFmtId="0" fontId="0" fillId="4" borderId="15" xfId="0" applyFill="1" applyBorder="1"/>
    <xf numFmtId="2" fontId="17" fillId="5" borderId="1" xfId="0" applyNumberFormat="1" applyFont="1" applyFill="1" applyBorder="1"/>
    <xf numFmtId="2" fontId="18" fillId="0" borderId="5" xfId="0" applyNumberFormat="1" applyFont="1" applyBorder="1"/>
    <xf numFmtId="2" fontId="17" fillId="0" borderId="5" xfId="0" applyNumberFormat="1" applyFont="1" applyBorder="1"/>
    <xf numFmtId="14" fontId="18" fillId="0" borderId="16" xfId="0" applyNumberFormat="1" applyFont="1" applyBorder="1"/>
    <xf numFmtId="1" fontId="18" fillId="0" borderId="17" xfId="0" applyNumberFormat="1" applyFont="1" applyBorder="1" applyAlignment="1">
      <alignment horizontal="center"/>
    </xf>
    <xf numFmtId="2" fontId="18" fillId="0" borderId="17" xfId="0" applyNumberFormat="1" applyFont="1" applyBorder="1"/>
    <xf numFmtId="14" fontId="18" fillId="0" borderId="1" xfId="0" applyNumberFormat="1" applyFont="1" applyBorder="1" applyAlignment="1">
      <alignment horizontal="center"/>
    </xf>
    <xf numFmtId="14" fontId="18" fillId="0" borderId="14" xfId="0" applyNumberFormat="1" applyFont="1" applyBorder="1"/>
    <xf numFmtId="14" fontId="18" fillId="0" borderId="5" xfId="0" applyNumberFormat="1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2" fillId="4" borderId="7" xfId="0" applyNumberFormat="1" applyFont="1" applyFill="1" applyBorder="1" applyAlignment="1">
      <alignment horizontal="center"/>
    </xf>
    <xf numFmtId="2" fontId="2" fillId="4" borderId="7" xfId="0" applyNumberFormat="1" applyFont="1" applyFill="1" applyBorder="1"/>
    <xf numFmtId="2" fontId="14" fillId="4" borderId="7" xfId="0" applyNumberFormat="1" applyFont="1" applyFill="1" applyBorder="1" applyAlignment="1">
      <alignment horizontal="right"/>
    </xf>
    <xf numFmtId="14" fontId="18" fillId="0" borderId="16" xfId="0" applyNumberFormat="1" applyFont="1" applyBorder="1" applyAlignment="1">
      <alignment horizontal="right"/>
    </xf>
    <xf numFmtId="2" fontId="17" fillId="0" borderId="17" xfId="0" applyNumberFormat="1" applyFont="1" applyBorder="1"/>
    <xf numFmtId="14" fontId="18" fillId="0" borderId="14" xfId="0" applyNumberFormat="1" applyFont="1" applyBorder="1" applyAlignment="1">
      <alignment horizontal="right"/>
    </xf>
    <xf numFmtId="14" fontId="12" fillId="0" borderId="2" xfId="0" applyNumberFormat="1" applyFont="1" applyBorder="1"/>
    <xf numFmtId="10" fontId="15" fillId="3" borderId="22" xfId="0" applyNumberFormat="1" applyFont="1" applyFill="1" applyBorder="1" applyAlignment="1">
      <alignment horizontal="right"/>
    </xf>
    <xf numFmtId="14" fontId="18" fillId="0" borderId="17" xfId="0" applyNumberFormat="1" applyFont="1" applyBorder="1" applyAlignment="1">
      <alignment horizontal="center"/>
    </xf>
    <xf numFmtId="14" fontId="18" fillId="0" borderId="10" xfId="0" applyNumberFormat="1" applyFont="1" applyBorder="1" applyAlignment="1">
      <alignment horizontal="right"/>
    </xf>
    <xf numFmtId="10" fontId="2" fillId="3" borderId="0" xfId="0" applyNumberFormat="1" applyFont="1" applyFill="1" applyBorder="1"/>
    <xf numFmtId="0" fontId="0" fillId="4" borderId="0" xfId="0" applyFill="1" applyBorder="1"/>
    <xf numFmtId="2" fontId="7" fillId="3" borderId="30" xfId="0" applyNumberFormat="1" applyFont="1" applyFill="1" applyBorder="1" applyAlignment="1">
      <alignment horizontal="right"/>
    </xf>
    <xf numFmtId="1" fontId="17" fillId="0" borderId="1" xfId="0" applyNumberFormat="1" applyFont="1" applyBorder="1" applyAlignment="1">
      <alignment horizontal="center"/>
    </xf>
    <xf numFmtId="1" fontId="17" fillId="3" borderId="1" xfId="0" applyNumberFormat="1" applyFont="1" applyFill="1" applyBorder="1" applyAlignment="1">
      <alignment horizontal="center"/>
    </xf>
    <xf numFmtId="14" fontId="12" fillId="0" borderId="31" xfId="0" applyNumberFormat="1" applyFont="1" applyBorder="1"/>
    <xf numFmtId="1" fontId="12" fillId="0" borderId="30" xfId="0" applyNumberFormat="1" applyFont="1" applyBorder="1" applyAlignment="1">
      <alignment horizontal="center"/>
    </xf>
    <xf numFmtId="2" fontId="8" fillId="0" borderId="30" xfId="0" applyNumberFormat="1" applyFont="1" applyBorder="1"/>
    <xf numFmtId="2" fontId="15" fillId="3" borderId="30" xfId="0" applyNumberFormat="1" applyFont="1" applyFill="1" applyBorder="1" applyAlignment="1">
      <alignment horizontal="right"/>
    </xf>
    <xf numFmtId="10" fontId="15" fillId="3" borderId="32" xfId="0" applyNumberFormat="1" applyFont="1" applyFill="1" applyBorder="1" applyAlignment="1">
      <alignment horizontal="right"/>
    </xf>
    <xf numFmtId="2" fontId="17" fillId="5" borderId="5" xfId="0" applyNumberFormat="1" applyFont="1" applyFill="1" applyBorder="1"/>
    <xf numFmtId="2" fontId="17" fillId="5" borderId="17" xfId="0" applyNumberFormat="1" applyFont="1" applyFill="1" applyBorder="1"/>
    <xf numFmtId="9" fontId="0" fillId="0" borderId="0" xfId="276" applyFont="1"/>
    <xf numFmtId="10" fontId="14" fillId="4" borderId="7" xfId="276" applyNumberFormat="1" applyFont="1" applyFill="1" applyBorder="1" applyAlignment="1">
      <alignment horizontal="right"/>
    </xf>
    <xf numFmtId="10" fontId="15" fillId="3" borderId="2" xfId="0" applyNumberFormat="1" applyFont="1" applyFill="1" applyBorder="1" applyAlignment="1">
      <alignment horizontal="right"/>
    </xf>
    <xf numFmtId="10" fontId="0" fillId="0" borderId="2" xfId="0" applyNumberFormat="1" applyBorder="1"/>
    <xf numFmtId="14" fontId="18" fillId="0" borderId="6" xfId="0" applyNumberFormat="1" applyFont="1" applyBorder="1" applyAlignment="1">
      <alignment horizontal="right"/>
    </xf>
    <xf numFmtId="14" fontId="18" fillId="0" borderId="31" xfId="0" applyNumberFormat="1" applyFont="1" applyBorder="1" applyAlignment="1">
      <alignment horizontal="right"/>
    </xf>
    <xf numFmtId="14" fontId="18" fillId="0" borderId="28" xfId="0" applyNumberFormat="1" applyFont="1" applyBorder="1" applyAlignment="1">
      <alignment horizontal="center"/>
    </xf>
    <xf numFmtId="2" fontId="17" fillId="0" borderId="28" xfId="0" applyNumberFormat="1" applyFont="1" applyBorder="1"/>
    <xf numFmtId="2" fontId="18" fillId="0" borderId="28" xfId="0" applyNumberFormat="1" applyFont="1" applyBorder="1"/>
    <xf numFmtId="2" fontId="7" fillId="3" borderId="28" xfId="0" applyNumberFormat="1" applyFont="1" applyFill="1" applyBorder="1" applyAlignment="1">
      <alignment horizontal="right"/>
    </xf>
    <xf numFmtId="10" fontId="0" fillId="0" borderId="29" xfId="0" applyNumberFormat="1" applyBorder="1"/>
    <xf numFmtId="14" fontId="12" fillId="0" borderId="1" xfId="0" applyNumberFormat="1" applyFont="1" applyBorder="1"/>
    <xf numFmtId="1" fontId="12" fillId="0" borderId="1" xfId="0" applyNumberFormat="1" applyFont="1" applyBorder="1" applyAlignment="1">
      <alignment horizontal="center"/>
    </xf>
    <xf numFmtId="2" fontId="8" fillId="0" borderId="1" xfId="0" applyNumberFormat="1" applyFont="1" applyBorder="1"/>
    <xf numFmtId="2" fontId="15" fillId="3" borderId="1" xfId="0" applyNumberFormat="1" applyFont="1" applyFill="1" applyBorder="1" applyAlignment="1">
      <alignment horizontal="right"/>
    </xf>
    <xf numFmtId="10" fontId="15" fillId="3" borderId="1" xfId="0" applyNumberFormat="1" applyFont="1" applyFill="1" applyBorder="1" applyAlignment="1">
      <alignment horizontal="right"/>
    </xf>
    <xf numFmtId="14" fontId="11" fillId="0" borderId="1" xfId="0" applyNumberFormat="1" applyFont="1" applyBorder="1"/>
    <xf numFmtId="10" fontId="0" fillId="0" borderId="1" xfId="0" applyNumberFormat="1" applyBorder="1"/>
    <xf numFmtId="14" fontId="11" fillId="0" borderId="1" xfId="0" applyNumberFormat="1" applyFont="1" applyBorder="1" applyAlignment="1">
      <alignment horizontal="right"/>
    </xf>
    <xf numFmtId="2" fontId="17" fillId="6" borderId="1" xfId="0" applyNumberFormat="1" applyFont="1" applyFill="1" applyBorder="1"/>
    <xf numFmtId="0" fontId="2" fillId="2" borderId="3" xfId="0" applyFont="1" applyFill="1" applyBorder="1" applyAlignment="1">
      <alignment horizontal="center"/>
    </xf>
    <xf numFmtId="0" fontId="2" fillId="2" borderId="19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9" fillId="0" borderId="0" xfId="0" applyFont="1" applyAlignment="1">
      <alignment horizontal="center" vertical="center"/>
    </xf>
    <xf numFmtId="0" fontId="0" fillId="0" borderId="0" xfId="0" applyFont="1" applyAlignment="1">
      <alignment wrapText="1"/>
    </xf>
    <xf numFmtId="0" fontId="10" fillId="0" borderId="0" xfId="0" applyFont="1" applyAlignment="1">
      <alignment horizontal="center" vertical="center"/>
    </xf>
  </cellXfs>
  <cellStyles count="397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9" builtinId="9" hidden="1"/>
    <cellStyle name="Hipervínculo visitado" xfId="10" builtinId="9" hidden="1"/>
    <cellStyle name="Hipervínculo visitado" xfId="11" builtinId="9" hidden="1"/>
    <cellStyle name="Hipervínculo visitado" xfId="12" builtinId="9" hidden="1"/>
    <cellStyle name="Hipervínculo visitado" xfId="13" builtinId="9" hidden="1"/>
    <cellStyle name="Hipervínculo visitado" xfId="14" builtinId="9" hidden="1"/>
    <cellStyle name="Hipervínculo visitado" xfId="15" builtinId="9" hidden="1"/>
    <cellStyle name="Hipervínculo visitado" xfId="16" builtinId="9" hidden="1"/>
    <cellStyle name="Hipervínculo visitado" xfId="17" builtinId="9" hidden="1"/>
    <cellStyle name="Hipervínculo visitado" xfId="18" builtinId="9" hidden="1"/>
    <cellStyle name="Hipervínculo visitado" xfId="19" builtinId="9" hidden="1"/>
    <cellStyle name="Hipervínculo visitado" xfId="20" builtinId="9" hidden="1"/>
    <cellStyle name="Hipervínculo visitado" xfId="21" builtinId="9" hidden="1"/>
    <cellStyle name="Hipervínculo visitado" xfId="22" builtinId="9" hidden="1"/>
    <cellStyle name="Hipervínculo visitado" xfId="23" builtinId="9" hidden="1"/>
    <cellStyle name="Hipervínculo visitado" xfId="24" builtinId="9" hidden="1"/>
    <cellStyle name="Hipervínculo visitado" xfId="25" builtinId="9" hidden="1"/>
    <cellStyle name="Hipervínculo visitado" xfId="26" builtinId="9" hidden="1"/>
    <cellStyle name="Hipervínculo visitado" xfId="27" builtinId="9" hidden="1"/>
    <cellStyle name="Hipervínculo visitado" xfId="28" builtinId="9" hidden="1"/>
    <cellStyle name="Hipervínculo visitado" xfId="29" builtinId="9" hidden="1"/>
    <cellStyle name="Hipervínculo visitado" xfId="30" builtinId="9" hidden="1"/>
    <cellStyle name="Hipervínculo visitado" xfId="31" builtinId="9" hidden="1"/>
    <cellStyle name="Hipervínculo visitado" xfId="32" builtinId="9" hidden="1"/>
    <cellStyle name="Hipervínculo visitado" xfId="33" builtinId="9" hidden="1"/>
    <cellStyle name="Hipervínculo visitado" xfId="34" builtinId="9" hidden="1"/>
    <cellStyle name="Hipervínculo visitado" xfId="35" builtinId="9" hidden="1"/>
    <cellStyle name="Hipervínculo visitado" xfId="36" builtinId="9" hidden="1"/>
    <cellStyle name="Hipervínculo visitado" xfId="37" builtinId="9" hidden="1"/>
    <cellStyle name="Hipervínculo visitado" xfId="38" builtinId="9" hidden="1"/>
    <cellStyle name="Hipervínculo visitado" xfId="39" builtinId="9" hidden="1"/>
    <cellStyle name="Hipervínculo visitado" xfId="40" builtinId="9" hidden="1"/>
    <cellStyle name="Hipervínculo visitado" xfId="41" builtinId="9" hidden="1"/>
    <cellStyle name="Hipervínculo visitado" xfId="42" builtinId="9" hidden="1"/>
    <cellStyle name="Hipervínculo visitado" xfId="43" builtinId="9" hidden="1"/>
    <cellStyle name="Hipervínculo visitado" xfId="44" builtinId="9" hidden="1"/>
    <cellStyle name="Hipervínculo visitado" xfId="45" builtinId="9" hidden="1"/>
    <cellStyle name="Hipervínculo visitado" xfId="46" builtinId="9" hidden="1"/>
    <cellStyle name="Hipervínculo visitado" xfId="47" builtinId="9" hidden="1"/>
    <cellStyle name="Hipervínculo visitado" xfId="48" builtinId="9" hidden="1"/>
    <cellStyle name="Hipervínculo visitado" xfId="49" builtinId="9" hidden="1"/>
    <cellStyle name="Hipervínculo visitado" xfId="50" builtinId="9" hidden="1"/>
    <cellStyle name="Hipervínculo visitado" xfId="51" builtinId="9" hidden="1"/>
    <cellStyle name="Hipervínculo visitado" xfId="52" builtinId="9" hidden="1"/>
    <cellStyle name="Hipervínculo visitado" xfId="53" builtinId="9" hidden="1"/>
    <cellStyle name="Hipervínculo visitado" xfId="54" builtinId="9" hidden="1"/>
    <cellStyle name="Hipervínculo visitado" xfId="55" builtinId="9" hidden="1"/>
    <cellStyle name="Hipervínculo visitado" xfId="56" builtinId="9" hidden="1"/>
    <cellStyle name="Hipervínculo visitado" xfId="57" builtinId="9" hidden="1"/>
    <cellStyle name="Hipervínculo visitado" xfId="58" builtinId="9" hidden="1"/>
    <cellStyle name="Hipervínculo visitado" xfId="59" builtinId="9" hidden="1"/>
    <cellStyle name="Hipervínculo visitado" xfId="60" builtinId="9" hidden="1"/>
    <cellStyle name="Hipervínculo visitado" xfId="61" builtinId="9" hidden="1"/>
    <cellStyle name="Hipervínculo visitado" xfId="62" builtinId="9" hidden="1"/>
    <cellStyle name="Hipervínculo visitado" xfId="63" builtinId="9" hidden="1"/>
    <cellStyle name="Hipervínculo visitado" xfId="64" builtinId="9" hidden="1"/>
    <cellStyle name="Hipervínculo visitado" xfId="65" builtinId="9" hidden="1"/>
    <cellStyle name="Hipervínculo visitado" xfId="66" builtinId="9" hidden="1"/>
    <cellStyle name="Hipervínculo visitado" xfId="67" builtinId="9" hidden="1"/>
    <cellStyle name="Hipervínculo visitado" xfId="68" builtinId="9" hidden="1"/>
    <cellStyle name="Hipervínculo visitado" xfId="69" builtinId="9" hidden="1"/>
    <cellStyle name="Hipervínculo visitado" xfId="70" builtinId="9" hidden="1"/>
    <cellStyle name="Hipervínculo visitado" xfId="71" builtinId="9" hidden="1"/>
    <cellStyle name="Hipervínculo visitado" xfId="72" builtinId="9" hidden="1"/>
    <cellStyle name="Hipervínculo visitado" xfId="73" builtinId="9" hidden="1"/>
    <cellStyle name="Hipervínculo visitado" xfId="74" builtinId="9" hidden="1"/>
    <cellStyle name="Hipervínculo visitado" xfId="75" builtinId="9" hidden="1"/>
    <cellStyle name="Hipervínculo visitado" xfId="76" builtinId="9" hidden="1"/>
    <cellStyle name="Hipervínculo visitado" xfId="77" builtinId="9" hidden="1"/>
    <cellStyle name="Hipervínculo visitado" xfId="78" builtinId="9" hidden="1"/>
    <cellStyle name="Hipervínculo visitado" xfId="79" builtinId="9" hidden="1"/>
    <cellStyle name="Hipervínculo visitado" xfId="80" builtinId="9" hidden="1"/>
    <cellStyle name="Hipervínculo visitado" xfId="81" builtinId="9" hidden="1"/>
    <cellStyle name="Hipervínculo visitado" xfId="82" builtinId="9" hidden="1"/>
    <cellStyle name="Hipervínculo visitado" xfId="83" builtinId="9" hidden="1"/>
    <cellStyle name="Hipervínculo visitado" xfId="84" builtinId="9" hidden="1"/>
    <cellStyle name="Hipervínculo visitado" xfId="85" builtinId="9" hidden="1"/>
    <cellStyle name="Hipervínculo visitado" xfId="86" builtinId="9" hidden="1"/>
    <cellStyle name="Hipervínculo visitado" xfId="87" builtinId="9" hidden="1"/>
    <cellStyle name="Hipervínculo visitado" xfId="88" builtinId="9" hidden="1"/>
    <cellStyle name="Hipervínculo visitado" xfId="89" builtinId="9" hidden="1"/>
    <cellStyle name="Hipervínculo visitado" xfId="90" builtinId="9" hidden="1"/>
    <cellStyle name="Hipervínculo visitado" xfId="91" builtinId="9" hidden="1"/>
    <cellStyle name="Hipervínculo visitado" xfId="92" builtinId="9" hidden="1"/>
    <cellStyle name="Hipervínculo visitado" xfId="93" builtinId="9" hidden="1"/>
    <cellStyle name="Hipervínculo visitado" xfId="94" builtinId="9" hidden="1"/>
    <cellStyle name="Hipervínculo visitado" xfId="95" builtinId="9" hidden="1"/>
    <cellStyle name="Hipervínculo visitado" xfId="96" builtinId="9" hidden="1"/>
    <cellStyle name="Hipervínculo visitado" xfId="97" builtinId="9" hidden="1"/>
    <cellStyle name="Hipervínculo visitado" xfId="98" builtinId="9" hidden="1"/>
    <cellStyle name="Hipervínculo visitado" xfId="99" builtinId="9" hidden="1"/>
    <cellStyle name="Hipervínculo visitado" xfId="100" builtinId="9" hidden="1"/>
    <cellStyle name="Hipervínculo visitado" xfId="101" builtinId="9" hidden="1"/>
    <cellStyle name="Hipervínculo visitado" xfId="102" builtinId="9" hidden="1"/>
    <cellStyle name="Hipervínculo visitado" xfId="103" builtinId="9" hidden="1"/>
    <cellStyle name="Hipervínculo visitado" xfId="104" builtinId="9" hidden="1"/>
    <cellStyle name="Hipervínculo visitado" xfId="105" builtinId="9" hidden="1"/>
    <cellStyle name="Hipervínculo visitado" xfId="106" builtinId="9" hidden="1"/>
    <cellStyle name="Hipervínculo visitado" xfId="107" builtinId="9" hidden="1"/>
    <cellStyle name="Hipervínculo visitado" xfId="108" builtinId="9" hidden="1"/>
    <cellStyle name="Hipervínculo visitado" xfId="109" builtinId="9" hidden="1"/>
    <cellStyle name="Hipervínculo visitado" xfId="110" builtinId="9" hidden="1"/>
    <cellStyle name="Hipervínculo visitado" xfId="111" builtinId="9" hidden="1"/>
    <cellStyle name="Hipervínculo visitado" xfId="112" builtinId="9" hidden="1"/>
    <cellStyle name="Hipervínculo visitado" xfId="113" builtinId="9" hidden="1"/>
    <cellStyle name="Hipervínculo visitado" xfId="114" builtinId="9" hidden="1"/>
    <cellStyle name="Hipervínculo visitado" xfId="115" builtinId="9" hidden="1"/>
    <cellStyle name="Hipervínculo visitado" xfId="116" builtinId="9" hidden="1"/>
    <cellStyle name="Hipervínculo visitado" xfId="117" builtinId="9" hidden="1"/>
    <cellStyle name="Hipervínculo visitado" xfId="118" builtinId="9" hidden="1"/>
    <cellStyle name="Hipervínculo visitado" xfId="119" builtinId="9" hidden="1"/>
    <cellStyle name="Hipervínculo visitado" xfId="120" builtinId="9" hidden="1"/>
    <cellStyle name="Hipervínculo visitado" xfId="121" builtinId="9" hidden="1"/>
    <cellStyle name="Hipervínculo visitado" xfId="122" builtinId="9" hidden="1"/>
    <cellStyle name="Hipervínculo visitado" xfId="123" builtinId="9" hidden="1"/>
    <cellStyle name="Hipervínculo visitado" xfId="124" builtinId="9" hidden="1"/>
    <cellStyle name="Hipervínculo visitado" xfId="125" builtinId="9" hidden="1"/>
    <cellStyle name="Hipervínculo visitado" xfId="126" builtinId="9" hidden="1"/>
    <cellStyle name="Hipervínculo visitado" xfId="127" builtinId="9" hidden="1"/>
    <cellStyle name="Hipervínculo visitado" xfId="128" builtinId="9" hidden="1"/>
    <cellStyle name="Hipervínculo visitado" xfId="129" builtinId="9" hidden="1"/>
    <cellStyle name="Hipervínculo visitado" xfId="130" builtinId="9" hidden="1"/>
    <cellStyle name="Hipervínculo visitado" xfId="131" builtinId="9" hidden="1"/>
    <cellStyle name="Hipervínculo visitado" xfId="132" builtinId="9" hidden="1"/>
    <cellStyle name="Hipervínculo visitado" xfId="133" builtinId="9" hidden="1"/>
    <cellStyle name="Hipervínculo visitado" xfId="134" builtinId="9" hidden="1"/>
    <cellStyle name="Hipervínculo visitado" xfId="135" builtinId="9" hidden="1"/>
    <cellStyle name="Hipervínculo visitado" xfId="136" builtinId="9" hidden="1"/>
    <cellStyle name="Hipervínculo visitado" xfId="137" builtinId="9" hidden="1"/>
    <cellStyle name="Hipervínculo visitado" xfId="138" builtinId="9" hidden="1"/>
    <cellStyle name="Hipervínculo visitado" xfId="139" builtinId="9" hidden="1"/>
    <cellStyle name="Hipervínculo visitado" xfId="140" builtinId="9" hidden="1"/>
    <cellStyle name="Hipervínculo visitado" xfId="141" builtinId="9" hidden="1"/>
    <cellStyle name="Hipervínculo visitado" xfId="142" builtinId="9" hidden="1"/>
    <cellStyle name="Hipervínculo visitado" xfId="143" builtinId="9" hidden="1"/>
    <cellStyle name="Hipervínculo visitado" xfId="144" builtinId="9" hidden="1"/>
    <cellStyle name="Hipervínculo visitado" xfId="145" builtinId="9" hidden="1"/>
    <cellStyle name="Hipervínculo visitado" xfId="146" builtinId="9" hidden="1"/>
    <cellStyle name="Hipervínculo visitado" xfId="147" builtinId="9" hidden="1"/>
    <cellStyle name="Hipervínculo visitado" xfId="148" builtinId="9" hidden="1"/>
    <cellStyle name="Hipervínculo visitado" xfId="149" builtinId="9" hidden="1"/>
    <cellStyle name="Hipervínculo visitado" xfId="150" builtinId="9" hidden="1"/>
    <cellStyle name="Hipervínculo visitado" xfId="151" builtinId="9" hidden="1"/>
    <cellStyle name="Hipervínculo visitado" xfId="152" builtinId="9" hidden="1"/>
    <cellStyle name="Hipervínculo visitado" xfId="153" builtinId="9" hidden="1"/>
    <cellStyle name="Hipervínculo visitado" xfId="154" builtinId="9" hidden="1"/>
    <cellStyle name="Hipervínculo visitado" xfId="155" builtinId="9" hidden="1"/>
    <cellStyle name="Hipervínculo visitado" xfId="156" builtinId="9" hidden="1"/>
    <cellStyle name="Hipervínculo visitado" xfId="157" builtinId="9" hidden="1"/>
    <cellStyle name="Hipervínculo visitado" xfId="158" builtinId="9" hidden="1"/>
    <cellStyle name="Hipervínculo visitado" xfId="159" builtinId="9" hidden="1"/>
    <cellStyle name="Hipervínculo visitado" xfId="160" builtinId="9" hidden="1"/>
    <cellStyle name="Hipervínculo visitado" xfId="161" builtinId="9" hidden="1"/>
    <cellStyle name="Hipervínculo visitado" xfId="162" builtinId="9" hidden="1"/>
    <cellStyle name="Hipervínculo visitado" xfId="163" builtinId="9" hidden="1"/>
    <cellStyle name="Hipervínculo visitado" xfId="164" builtinId="9" hidden="1"/>
    <cellStyle name="Hipervínculo visitado" xfId="165" builtinId="9" hidden="1"/>
    <cellStyle name="Hipervínculo visitado" xfId="166" builtinId="9" hidden="1"/>
    <cellStyle name="Hipervínculo visitado" xfId="167" builtinId="9" hidden="1"/>
    <cellStyle name="Hipervínculo visitado" xfId="168" builtinId="9" hidden="1"/>
    <cellStyle name="Hipervínculo visitado" xfId="169" builtinId="9" hidden="1"/>
    <cellStyle name="Hipervínculo visitado" xfId="170" builtinId="9" hidden="1"/>
    <cellStyle name="Hipervínculo visitado" xfId="171" builtinId="9" hidden="1"/>
    <cellStyle name="Hipervínculo visitado" xfId="172" builtinId="9" hidden="1"/>
    <cellStyle name="Hipervínculo visitado" xfId="173" builtinId="9" hidden="1"/>
    <cellStyle name="Hipervínculo visitado" xfId="174" builtinId="9" hidden="1"/>
    <cellStyle name="Hipervínculo visitado" xfId="175" builtinId="9" hidden="1"/>
    <cellStyle name="Hipervínculo visitado" xfId="176" builtinId="9" hidden="1"/>
    <cellStyle name="Hipervínculo visitado" xfId="177" builtinId="9" hidden="1"/>
    <cellStyle name="Hipervínculo visitado" xfId="178" builtinId="9" hidden="1"/>
    <cellStyle name="Hipervínculo visitado" xfId="179" builtinId="9" hidden="1"/>
    <cellStyle name="Hipervínculo visitado" xfId="180" builtinId="9" hidden="1"/>
    <cellStyle name="Hipervínculo visitado" xfId="181" builtinId="9" hidden="1"/>
    <cellStyle name="Hipervínculo visitado" xfId="182" builtinId="9" hidden="1"/>
    <cellStyle name="Hipervínculo visitado" xfId="183" builtinId="9" hidden="1"/>
    <cellStyle name="Hipervínculo visitado" xfId="184" builtinId="9" hidden="1"/>
    <cellStyle name="Hipervínculo visitado" xfId="185" builtinId="9" hidden="1"/>
    <cellStyle name="Hipervínculo visitado" xfId="186" builtinId="9" hidden="1"/>
    <cellStyle name="Hipervínculo visitado" xfId="187" builtinId="9" hidden="1"/>
    <cellStyle name="Hipervínculo visitado" xfId="188" builtinId="9" hidden="1"/>
    <cellStyle name="Hipervínculo visitado" xfId="189" builtinId="9" hidden="1"/>
    <cellStyle name="Hipervínculo visitado" xfId="190" builtinId="9" hidden="1"/>
    <cellStyle name="Hipervínculo visitado" xfId="191" builtinId="9" hidden="1"/>
    <cellStyle name="Hipervínculo visitado" xfId="192" builtinId="9" hidden="1"/>
    <cellStyle name="Hipervínculo visitado" xfId="193" builtinId="9" hidden="1"/>
    <cellStyle name="Hipervínculo visitado" xfId="194" builtinId="9" hidden="1"/>
    <cellStyle name="Hipervínculo visitado" xfId="195" builtinId="9" hidden="1"/>
    <cellStyle name="Hipervínculo visitado" xfId="196" builtinId="9" hidden="1"/>
    <cellStyle name="Hipervínculo visitado" xfId="197" builtinId="9" hidden="1"/>
    <cellStyle name="Hipervínculo visitado" xfId="198" builtinId="9" hidden="1"/>
    <cellStyle name="Hipervínculo visitado" xfId="199" builtinId="9" hidden="1"/>
    <cellStyle name="Hipervínculo visitado" xfId="200" builtinId="9" hidden="1"/>
    <cellStyle name="Hipervínculo visitado" xfId="201" builtinId="9" hidden="1"/>
    <cellStyle name="Hipervínculo visitado" xfId="202" builtinId="9" hidden="1"/>
    <cellStyle name="Hipervínculo visitado" xfId="203" builtinId="9" hidden="1"/>
    <cellStyle name="Hipervínculo visitado" xfId="204" builtinId="9" hidden="1"/>
    <cellStyle name="Hipervínculo visitado" xfId="205" builtinId="9" hidden="1"/>
    <cellStyle name="Hipervínculo visitado" xfId="206" builtinId="9" hidden="1"/>
    <cellStyle name="Hipervínculo visitado" xfId="207" builtinId="9" hidden="1"/>
    <cellStyle name="Hipervínculo visitado" xfId="208" builtinId="9" hidden="1"/>
    <cellStyle name="Hipervínculo visitado" xfId="209" builtinId="9" hidden="1"/>
    <cellStyle name="Hipervínculo visitado" xfId="210" builtinId="9" hidden="1"/>
    <cellStyle name="Hipervínculo visitado" xfId="211" builtinId="9" hidden="1"/>
    <cellStyle name="Hipervínculo visitado" xfId="212" builtinId="9" hidden="1"/>
    <cellStyle name="Hipervínculo visitado" xfId="213" builtinId="9" hidden="1"/>
    <cellStyle name="Hipervínculo visitado" xfId="214" builtinId="9" hidden="1"/>
    <cellStyle name="Hipervínculo visitado" xfId="215" builtinId="9" hidden="1"/>
    <cellStyle name="Hipervínculo visitado" xfId="216" builtinId="9" hidden="1"/>
    <cellStyle name="Hipervínculo visitado" xfId="217" builtinId="9" hidden="1"/>
    <cellStyle name="Hipervínculo visitado" xfId="218" builtinId="9" hidden="1"/>
    <cellStyle name="Hipervínculo visitado" xfId="219" builtinId="9" hidden="1"/>
    <cellStyle name="Hipervínculo visitado" xfId="220" builtinId="9" hidden="1"/>
    <cellStyle name="Hipervínculo visitado" xfId="221" builtinId="9" hidden="1"/>
    <cellStyle name="Hipervínculo visitado" xfId="222" builtinId="9" hidden="1"/>
    <cellStyle name="Hipervínculo visitado" xfId="223" builtinId="9" hidden="1"/>
    <cellStyle name="Hipervínculo visitado" xfId="224" builtinId="9" hidden="1"/>
    <cellStyle name="Hipervínculo visitado" xfId="225" builtinId="9" hidden="1"/>
    <cellStyle name="Hipervínculo visitado" xfId="226" builtinId="9" hidden="1"/>
    <cellStyle name="Hipervínculo visitado" xfId="227" builtinId="9" hidden="1"/>
    <cellStyle name="Hipervínculo visitado" xfId="228" builtinId="9" hidden="1"/>
    <cellStyle name="Hipervínculo visitado" xfId="229" builtinId="9" hidden="1"/>
    <cellStyle name="Hipervínculo visitado" xfId="230" builtinId="9" hidden="1"/>
    <cellStyle name="Hipervínculo visitado" xfId="231" builtinId="9" hidden="1"/>
    <cellStyle name="Hipervínculo visitado" xfId="232" builtinId="9" hidden="1"/>
    <cellStyle name="Hipervínculo visitado" xfId="233" builtinId="9" hidden="1"/>
    <cellStyle name="Hipervínculo visitado" xfId="234" builtinId="9" hidden="1"/>
    <cellStyle name="Hipervínculo visitado" xfId="235" builtinId="9" hidden="1"/>
    <cellStyle name="Hipervínculo visitado" xfId="236" builtinId="9" hidden="1"/>
    <cellStyle name="Hipervínculo visitado" xfId="237" builtinId="9" hidden="1"/>
    <cellStyle name="Hipervínculo visitado" xfId="238" builtinId="9" hidden="1"/>
    <cellStyle name="Hipervínculo visitado" xfId="239" builtinId="9" hidden="1"/>
    <cellStyle name="Hipervínculo visitado" xfId="240" builtinId="9" hidden="1"/>
    <cellStyle name="Hipervínculo visitado" xfId="241" builtinId="9" hidden="1"/>
    <cellStyle name="Hipervínculo visitado" xfId="242" builtinId="9" hidden="1"/>
    <cellStyle name="Hipervínculo visitado" xfId="243" builtinId="9" hidden="1"/>
    <cellStyle name="Hipervínculo visitado" xfId="244" builtinId="9" hidden="1"/>
    <cellStyle name="Hipervínculo visitado" xfId="245" builtinId="9" hidden="1"/>
    <cellStyle name="Hipervínculo visitado" xfId="246" builtinId="9" hidden="1"/>
    <cellStyle name="Hipervínculo visitado" xfId="247" builtinId="9" hidden="1"/>
    <cellStyle name="Hipervínculo visitado" xfId="248" builtinId="9" hidden="1"/>
    <cellStyle name="Hipervínculo visitado" xfId="249" builtinId="9" hidden="1"/>
    <cellStyle name="Hipervínculo visitado" xfId="250" builtinId="9" hidden="1"/>
    <cellStyle name="Hipervínculo visitado" xfId="251" builtinId="9" hidden="1"/>
    <cellStyle name="Hipervínculo visitado" xfId="252" builtinId="9" hidden="1"/>
    <cellStyle name="Hipervínculo visitado" xfId="253" builtinId="9" hidden="1"/>
    <cellStyle name="Hipervínculo visitado" xfId="254" builtinId="9" hidden="1"/>
    <cellStyle name="Hipervínculo visitado" xfId="255" builtinId="9" hidden="1"/>
    <cellStyle name="Hipervínculo visitado" xfId="256" builtinId="9" hidden="1"/>
    <cellStyle name="Hipervínculo visitado" xfId="257" builtinId="9" hidden="1"/>
    <cellStyle name="Hipervínculo visitado" xfId="258" builtinId="9" hidden="1"/>
    <cellStyle name="Hipervínculo visitado" xfId="259" builtinId="9" hidden="1"/>
    <cellStyle name="Hipervínculo visitado" xfId="260" builtinId="9" hidden="1"/>
    <cellStyle name="Hipervínculo visitado" xfId="261" builtinId="9" hidden="1"/>
    <cellStyle name="Hipervínculo visitado" xfId="262" builtinId="9" hidden="1"/>
    <cellStyle name="Hipervínculo visitado" xfId="263" builtinId="9" hidden="1"/>
    <cellStyle name="Hipervínculo visitado" xfId="264" builtinId="9" hidden="1"/>
    <cellStyle name="Hipervínculo visitado" xfId="265" builtinId="9" hidden="1"/>
    <cellStyle name="Hipervínculo visitado" xfId="266" builtinId="9" hidden="1"/>
    <cellStyle name="Hipervínculo visitado" xfId="267" builtinId="9" hidden="1"/>
    <cellStyle name="Hipervínculo visitado" xfId="268" builtinId="9" hidden="1"/>
    <cellStyle name="Hipervínculo visitado" xfId="269" builtinId="9" hidden="1"/>
    <cellStyle name="Hipervínculo visitado" xfId="270" builtinId="9" hidden="1"/>
    <cellStyle name="Hipervínculo visitado" xfId="271" builtinId="9" hidden="1"/>
    <cellStyle name="Hipervínculo visitado" xfId="272" builtinId="9" hidden="1"/>
    <cellStyle name="Hipervínculo visitado" xfId="273" builtinId="9" hidden="1"/>
    <cellStyle name="Hipervínculo visitado" xfId="274" builtinId="9" hidden="1"/>
    <cellStyle name="Hipervínculo visitado" xfId="275" builtinId="9" hidden="1"/>
    <cellStyle name="Hipervínculo visitado" xfId="277" builtinId="9" hidden="1"/>
    <cellStyle name="Hipervínculo visitado" xfId="278" builtinId="9" hidden="1"/>
    <cellStyle name="Hipervínculo visitado" xfId="279" builtinId="9" hidden="1"/>
    <cellStyle name="Hipervínculo visitado" xfId="280" builtinId="9" hidden="1"/>
    <cellStyle name="Hipervínculo visitado" xfId="281" builtinId="9" hidden="1"/>
    <cellStyle name="Hipervínculo visitado" xfId="282" builtinId="9" hidden="1"/>
    <cellStyle name="Hipervínculo visitado" xfId="283" builtinId="9" hidden="1"/>
    <cellStyle name="Hipervínculo visitado" xfId="284" builtinId="9" hidden="1"/>
    <cellStyle name="Hipervínculo visitado" xfId="285" builtinId="9" hidden="1"/>
    <cellStyle name="Hipervínculo visitado" xfId="286" builtinId="9" hidden="1"/>
    <cellStyle name="Hipervínculo visitado" xfId="287" builtinId="9" hidden="1"/>
    <cellStyle name="Hipervínculo visitado" xfId="288" builtinId="9" hidden="1"/>
    <cellStyle name="Hipervínculo visitado" xfId="289" builtinId="9" hidden="1"/>
    <cellStyle name="Hipervínculo visitado" xfId="290" builtinId="9" hidden="1"/>
    <cellStyle name="Hipervínculo visitado" xfId="291" builtinId="9" hidden="1"/>
    <cellStyle name="Hipervínculo visitado" xfId="292" builtinId="9" hidden="1"/>
    <cellStyle name="Hipervínculo visitado" xfId="293" builtinId="9" hidden="1"/>
    <cellStyle name="Hipervínculo visitado" xfId="294" builtinId="9" hidden="1"/>
    <cellStyle name="Hipervínculo visitado" xfId="295" builtinId="9" hidden="1"/>
    <cellStyle name="Hipervínculo visitado" xfId="296" builtinId="9" hidden="1"/>
    <cellStyle name="Hipervínculo visitado" xfId="297" builtinId="9" hidden="1"/>
    <cellStyle name="Hipervínculo visitado" xfId="298" builtinId="9" hidden="1"/>
    <cellStyle name="Hipervínculo visitado" xfId="299" builtinId="9" hidden="1"/>
    <cellStyle name="Hipervínculo visitado" xfId="300" builtinId="9" hidden="1"/>
    <cellStyle name="Hipervínculo visitado" xfId="301" builtinId="9" hidden="1"/>
    <cellStyle name="Hipervínculo visitado" xfId="302" builtinId="9" hidden="1"/>
    <cellStyle name="Hipervínculo visitado" xfId="303" builtinId="9" hidden="1"/>
    <cellStyle name="Hipervínculo visitado" xfId="304" builtinId="9" hidden="1"/>
    <cellStyle name="Hipervínculo visitado" xfId="305" builtinId="9" hidden="1"/>
    <cellStyle name="Hipervínculo visitado" xfId="306" builtinId="9" hidden="1"/>
    <cellStyle name="Hipervínculo visitado" xfId="307" builtinId="9" hidden="1"/>
    <cellStyle name="Hipervínculo visitado" xfId="308" builtinId="9" hidden="1"/>
    <cellStyle name="Hipervínculo visitado" xfId="309" builtinId="9" hidden="1"/>
    <cellStyle name="Hipervínculo visitado" xfId="310" builtinId="9" hidden="1"/>
    <cellStyle name="Hipervínculo visitado" xfId="311" builtinId="9" hidden="1"/>
    <cellStyle name="Hipervínculo visitado" xfId="312" builtinId="9" hidden="1"/>
    <cellStyle name="Hipervínculo visitado" xfId="313" builtinId="9" hidden="1"/>
    <cellStyle name="Hipervínculo visitado" xfId="314" builtinId="9" hidden="1"/>
    <cellStyle name="Hipervínculo visitado" xfId="315" builtinId="9" hidden="1"/>
    <cellStyle name="Hipervínculo visitado" xfId="316" builtinId="9" hidden="1"/>
    <cellStyle name="Hipervínculo visitado" xfId="317" builtinId="9" hidden="1"/>
    <cellStyle name="Hipervínculo visitado" xfId="318" builtinId="9" hidden="1"/>
    <cellStyle name="Hipervínculo visitado" xfId="319" builtinId="9" hidden="1"/>
    <cellStyle name="Hipervínculo visitado" xfId="320" builtinId="9" hidden="1"/>
    <cellStyle name="Hipervínculo visitado" xfId="321" builtinId="9" hidden="1"/>
    <cellStyle name="Hipervínculo visitado" xfId="322" builtinId="9" hidden="1"/>
    <cellStyle name="Hipervínculo visitado" xfId="323" builtinId="9" hidden="1"/>
    <cellStyle name="Hipervínculo visitado" xfId="324" builtinId="9" hidden="1"/>
    <cellStyle name="Hipervínculo visitado" xfId="325" builtinId="9" hidden="1"/>
    <cellStyle name="Hipervínculo visitado" xfId="326" builtinId="9" hidden="1"/>
    <cellStyle name="Hipervínculo visitado" xfId="327" builtinId="9" hidden="1"/>
    <cellStyle name="Hipervínculo visitado" xfId="328" builtinId="9" hidden="1"/>
    <cellStyle name="Hipervínculo visitado" xfId="329" builtinId="9" hidden="1"/>
    <cellStyle name="Hipervínculo visitado" xfId="330" builtinId="9" hidden="1"/>
    <cellStyle name="Hipervínculo visitado" xfId="331" builtinId="9" hidden="1"/>
    <cellStyle name="Hipervínculo visitado" xfId="332" builtinId="9" hidden="1"/>
    <cellStyle name="Hipervínculo visitado" xfId="333" builtinId="9" hidden="1"/>
    <cellStyle name="Hipervínculo visitado" xfId="334" builtinId="9" hidden="1"/>
    <cellStyle name="Hipervínculo visitado" xfId="335" builtinId="9" hidden="1"/>
    <cellStyle name="Hipervínculo visitado" xfId="336" builtinId="9" hidden="1"/>
    <cellStyle name="Hipervínculo visitado" xfId="337" builtinId="9" hidden="1"/>
    <cellStyle name="Hipervínculo visitado" xfId="338" builtinId="9" hidden="1"/>
    <cellStyle name="Hipervínculo visitado" xfId="339" builtinId="9" hidden="1"/>
    <cellStyle name="Hipervínculo visitado" xfId="340" builtinId="9" hidden="1"/>
    <cellStyle name="Hipervínculo visitado" xfId="341" builtinId="9" hidden="1"/>
    <cellStyle name="Hipervínculo visitado" xfId="342" builtinId="9" hidden="1"/>
    <cellStyle name="Hipervínculo visitado" xfId="343" builtinId="9" hidden="1"/>
    <cellStyle name="Hipervínculo visitado" xfId="344" builtinId="9" hidden="1"/>
    <cellStyle name="Hipervínculo visitado" xfId="345" builtinId="9" hidden="1"/>
    <cellStyle name="Hipervínculo visitado" xfId="346" builtinId="9" hidden="1"/>
    <cellStyle name="Hipervínculo visitado" xfId="347" builtinId="9" hidden="1"/>
    <cellStyle name="Hipervínculo visitado" xfId="348" builtinId="9" hidden="1"/>
    <cellStyle name="Hipervínculo visitado" xfId="349" builtinId="9" hidden="1"/>
    <cellStyle name="Hipervínculo visitado" xfId="350" builtinId="9" hidden="1"/>
    <cellStyle name="Hipervínculo visitado" xfId="351" builtinId="9" hidden="1"/>
    <cellStyle name="Hipervínculo visitado" xfId="352" builtinId="9" hidden="1"/>
    <cellStyle name="Hipervínculo visitado" xfId="353" builtinId="9" hidden="1"/>
    <cellStyle name="Hipervínculo visitado" xfId="354" builtinId="9" hidden="1"/>
    <cellStyle name="Hipervínculo visitado" xfId="355" builtinId="9" hidden="1"/>
    <cellStyle name="Hipervínculo visitado" xfId="356" builtinId="9" hidden="1"/>
    <cellStyle name="Hipervínculo visitado" xfId="357" builtinId="9" hidden="1"/>
    <cellStyle name="Hipervínculo visitado" xfId="358" builtinId="9" hidden="1"/>
    <cellStyle name="Hipervínculo visitado" xfId="359" builtinId="9" hidden="1"/>
    <cellStyle name="Hipervínculo visitado" xfId="360" builtinId="9" hidden="1"/>
    <cellStyle name="Hipervínculo visitado" xfId="361" builtinId="9" hidden="1"/>
    <cellStyle name="Hipervínculo visitado" xfId="362" builtinId="9" hidden="1"/>
    <cellStyle name="Hipervínculo visitado" xfId="363" builtinId="9" hidden="1"/>
    <cellStyle name="Hipervínculo visitado" xfId="364" builtinId="9" hidden="1"/>
    <cellStyle name="Hipervínculo visitado" xfId="365" builtinId="9" hidden="1"/>
    <cellStyle name="Hipervínculo visitado" xfId="366" builtinId="9" hidden="1"/>
    <cellStyle name="Hipervínculo visitado" xfId="367" builtinId="9" hidden="1"/>
    <cellStyle name="Hipervínculo visitado" xfId="368" builtinId="9" hidden="1"/>
    <cellStyle name="Hipervínculo visitado" xfId="369" builtinId="9" hidden="1"/>
    <cellStyle name="Hipervínculo visitado" xfId="370" builtinId="9" hidden="1"/>
    <cellStyle name="Hipervínculo visitado" xfId="371" builtinId="9" hidden="1"/>
    <cellStyle name="Hipervínculo visitado" xfId="372" builtinId="9" hidden="1"/>
    <cellStyle name="Hipervínculo visitado" xfId="373" builtinId="9" hidden="1"/>
    <cellStyle name="Hipervínculo visitado" xfId="374" builtinId="9" hidden="1"/>
    <cellStyle name="Hipervínculo visitado" xfId="375" builtinId="9" hidden="1"/>
    <cellStyle name="Hipervínculo visitado" xfId="376" builtinId="9" hidden="1"/>
    <cellStyle name="Hipervínculo visitado" xfId="377" builtinId="9" hidden="1"/>
    <cellStyle name="Hipervínculo visitado" xfId="378" builtinId="9" hidden="1"/>
    <cellStyle name="Hipervínculo visitado" xfId="379" builtinId="9" hidden="1"/>
    <cellStyle name="Hipervínculo visitado" xfId="380" builtinId="9" hidden="1"/>
    <cellStyle name="Hipervínculo visitado" xfId="381" builtinId="9" hidden="1"/>
    <cellStyle name="Hipervínculo visitado" xfId="382" builtinId="9" hidden="1"/>
    <cellStyle name="Hipervínculo visitado" xfId="383" builtinId="9" hidden="1"/>
    <cellStyle name="Hipervínculo visitado" xfId="384" builtinId="9" hidden="1"/>
    <cellStyle name="Hipervínculo visitado" xfId="385" builtinId="9" hidden="1"/>
    <cellStyle name="Hipervínculo visitado" xfId="386" builtinId="9" hidden="1"/>
    <cellStyle name="Hipervínculo visitado" xfId="387" builtinId="9" hidden="1"/>
    <cellStyle name="Hipervínculo visitado" xfId="388" builtinId="9" hidden="1"/>
    <cellStyle name="Hipervínculo visitado" xfId="389" builtinId="9" hidden="1"/>
    <cellStyle name="Hipervínculo visitado" xfId="390" builtinId="9" hidden="1"/>
    <cellStyle name="Hipervínculo visitado" xfId="391" builtinId="9" hidden="1"/>
    <cellStyle name="Hipervínculo visitado" xfId="392" builtinId="9" hidden="1"/>
    <cellStyle name="Hipervínculo visitado" xfId="393" builtinId="9" hidden="1"/>
    <cellStyle name="Hipervínculo visitado" xfId="394" builtinId="9" hidden="1"/>
    <cellStyle name="Hipervínculo visitado" xfId="395" builtinId="9" hidden="1"/>
    <cellStyle name="Hipervínculo visitado" xfId="396" builtinId="9" hidden="1"/>
    <cellStyle name="Normal" xfId="0" builtinId="0"/>
    <cellStyle name="Porcentual" xfId="276" builtinId="5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connections" Target="connections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lotoidea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 enableFormatConditionsCalculation="0"/>
  <dimension ref="A2:AG165"/>
  <sheetViews>
    <sheetView showGridLines="0" tabSelected="1" zoomScale="115" zoomScaleNormal="115" zoomScalePageLayoutView="115" workbookViewId="0">
      <selection activeCell="E160" sqref="E160"/>
    </sheetView>
  </sheetViews>
  <sheetFormatPr baseColWidth="10" defaultRowHeight="15" x14ac:dyDescent="0"/>
  <cols>
    <col min="1" max="1" width="11.33203125" customWidth="1"/>
    <col min="2" max="2" width="4" style="11" bestFit="1" customWidth="1"/>
    <col min="3" max="5" width="10.83203125" style="9"/>
    <col min="6" max="6" width="11.6640625" style="9" bestFit="1" customWidth="1"/>
    <col min="7" max="7" width="10.83203125" style="4"/>
    <col min="8" max="8" width="1.83203125" style="10" customWidth="1"/>
    <col min="9" max="14" width="3.1640625" hidden="1" customWidth="1"/>
    <col min="15" max="15" width="1.6640625" style="10" hidden="1" customWidth="1"/>
    <col min="16" max="21" width="3.1640625" hidden="1" customWidth="1"/>
  </cols>
  <sheetData>
    <row r="2" spans="1:21" ht="34" thickBot="1">
      <c r="A2" s="7" t="s">
        <v>5</v>
      </c>
      <c r="B2" s="8"/>
    </row>
    <row r="3" spans="1:21" ht="16" thickBot="1">
      <c r="I3" s="140" t="s">
        <v>6</v>
      </c>
      <c r="J3" s="141"/>
      <c r="K3" s="141"/>
      <c r="L3" s="141"/>
      <c r="M3" s="141"/>
      <c r="N3" s="142"/>
      <c r="P3" s="140" t="s">
        <v>7</v>
      </c>
      <c r="Q3" s="141"/>
      <c r="R3" s="141"/>
      <c r="S3" s="141"/>
      <c r="T3" s="141"/>
      <c r="U3" s="142"/>
    </row>
    <row r="4" spans="1:21" ht="16" thickBot="1">
      <c r="A4" s="12" t="s">
        <v>3</v>
      </c>
      <c r="B4" s="13" t="s">
        <v>8</v>
      </c>
      <c r="C4" s="14" t="s">
        <v>9</v>
      </c>
      <c r="D4" s="14" t="s">
        <v>4</v>
      </c>
      <c r="E4" s="14" t="s">
        <v>10</v>
      </c>
      <c r="F4" s="15" t="s">
        <v>11</v>
      </c>
      <c r="G4" s="16" t="s">
        <v>12</v>
      </c>
      <c r="H4" s="17"/>
      <c r="I4" s="18">
        <v>15</v>
      </c>
      <c r="J4" s="19">
        <v>14</v>
      </c>
      <c r="K4" s="19">
        <v>13</v>
      </c>
      <c r="L4" s="19">
        <v>12</v>
      </c>
      <c r="M4" s="19">
        <v>11</v>
      </c>
      <c r="N4" s="20">
        <v>10</v>
      </c>
      <c r="O4" s="17"/>
      <c r="P4" s="18">
        <v>15</v>
      </c>
      <c r="Q4" s="19">
        <v>14</v>
      </c>
      <c r="R4" s="19">
        <v>13</v>
      </c>
      <c r="S4" s="19">
        <v>12</v>
      </c>
      <c r="T4" s="19">
        <v>11</v>
      </c>
      <c r="U4" s="20">
        <v>10</v>
      </c>
    </row>
    <row r="5" spans="1:21" s="27" customFormat="1" ht="16" hidden="1" thickBot="1">
      <c r="A5" s="21">
        <v>42243</v>
      </c>
      <c r="B5" s="22"/>
      <c r="C5" s="23">
        <v>180.71</v>
      </c>
      <c r="D5" s="24">
        <v>0</v>
      </c>
      <c r="E5" s="24">
        <v>0</v>
      </c>
      <c r="F5" s="24">
        <f>C5+D5-E5</f>
        <v>180.71</v>
      </c>
      <c r="G5" s="25"/>
      <c r="H5" s="25"/>
      <c r="I5" s="26"/>
      <c r="J5" s="26"/>
      <c r="K5" s="26"/>
      <c r="L5" s="26" t="s">
        <v>0</v>
      </c>
      <c r="M5" s="26" t="s">
        <v>0</v>
      </c>
      <c r="N5" s="26" t="s">
        <v>0</v>
      </c>
      <c r="O5" s="25"/>
      <c r="P5" s="26"/>
      <c r="Q5" s="26"/>
      <c r="R5" s="26"/>
      <c r="S5" s="26"/>
      <c r="T5" s="26" t="s">
        <v>0</v>
      </c>
      <c r="U5" s="26"/>
    </row>
    <row r="6" spans="1:21" hidden="1">
      <c r="A6" s="28">
        <v>42246</v>
      </c>
      <c r="B6" s="29">
        <v>2</v>
      </c>
      <c r="C6" s="30">
        <v>0</v>
      </c>
      <c r="D6" s="31">
        <v>0</v>
      </c>
      <c r="E6" s="31">
        <v>36</v>
      </c>
      <c r="F6" s="32">
        <f t="shared" ref="F6:F37" si="0">F5+C6+D6-E6</f>
        <v>144.71</v>
      </c>
      <c r="G6" s="33">
        <f>D6/E6</f>
        <v>0</v>
      </c>
      <c r="I6" s="34"/>
      <c r="J6" s="35"/>
      <c r="K6" s="35"/>
      <c r="L6" s="35"/>
      <c r="M6" s="35" t="s">
        <v>0</v>
      </c>
      <c r="N6" s="36" t="s">
        <v>0</v>
      </c>
      <c r="P6" s="34"/>
      <c r="Q6" s="35"/>
      <c r="R6" s="35"/>
      <c r="S6" s="35"/>
      <c r="T6" s="35" t="s">
        <v>0</v>
      </c>
      <c r="U6" s="36" t="s">
        <v>0</v>
      </c>
    </row>
    <row r="7" spans="1:21" hidden="1">
      <c r="A7" s="37">
        <v>42260</v>
      </c>
      <c r="B7" s="38">
        <v>5</v>
      </c>
      <c r="C7" s="39">
        <v>0</v>
      </c>
      <c r="D7" s="40">
        <v>0</v>
      </c>
      <c r="E7" s="40">
        <v>36</v>
      </c>
      <c r="F7" s="41">
        <f t="shared" si="0"/>
        <v>108.71000000000001</v>
      </c>
      <c r="G7" s="42">
        <f t="shared" ref="G7:G10" si="1">D7/E7</f>
        <v>0</v>
      </c>
      <c r="I7" s="43"/>
      <c r="J7" s="3"/>
      <c r="K7" s="3"/>
      <c r="L7" s="3"/>
      <c r="M7" s="3"/>
      <c r="N7" s="5"/>
      <c r="P7" s="43"/>
      <c r="Q7" s="3"/>
      <c r="R7" s="3"/>
      <c r="S7" s="3"/>
      <c r="T7" s="3"/>
      <c r="U7" s="5"/>
    </row>
    <row r="8" spans="1:21" hidden="1">
      <c r="A8" s="37">
        <v>42267</v>
      </c>
      <c r="B8" s="38">
        <v>7</v>
      </c>
      <c r="C8" s="39">
        <v>0</v>
      </c>
      <c r="D8" s="40">
        <v>0</v>
      </c>
      <c r="E8" s="40">
        <v>36</v>
      </c>
      <c r="F8" s="41">
        <f t="shared" si="0"/>
        <v>72.710000000000008</v>
      </c>
      <c r="G8" s="42">
        <f t="shared" si="1"/>
        <v>0</v>
      </c>
      <c r="I8" s="43"/>
      <c r="J8" s="3"/>
      <c r="K8" s="3"/>
      <c r="L8" s="3"/>
      <c r="M8" s="3"/>
      <c r="N8" s="5"/>
      <c r="P8" s="43"/>
      <c r="Q8" s="3"/>
      <c r="R8" s="3"/>
      <c r="S8" s="3"/>
      <c r="T8" s="3"/>
      <c r="U8" s="5"/>
    </row>
    <row r="9" spans="1:21" hidden="1">
      <c r="A9" s="37">
        <v>42274</v>
      </c>
      <c r="B9" s="38">
        <v>9</v>
      </c>
      <c r="C9" s="39">
        <v>0</v>
      </c>
      <c r="D9" s="40">
        <v>0</v>
      </c>
      <c r="E9" s="40">
        <v>36</v>
      </c>
      <c r="F9" s="41">
        <f t="shared" si="0"/>
        <v>36.710000000000008</v>
      </c>
      <c r="G9" s="42">
        <f t="shared" si="1"/>
        <v>0</v>
      </c>
      <c r="I9" s="43"/>
      <c r="J9" s="3"/>
      <c r="K9" s="3"/>
      <c r="L9" s="3"/>
      <c r="M9" s="3"/>
      <c r="N9" s="5"/>
      <c r="P9" s="43"/>
      <c r="Q9" s="3"/>
      <c r="R9" s="3"/>
      <c r="S9" s="3"/>
      <c r="T9" s="3"/>
      <c r="U9" s="5"/>
    </row>
    <row r="10" spans="1:21" ht="16" hidden="1" thickBot="1">
      <c r="A10" s="44">
        <v>42281</v>
      </c>
      <c r="B10" s="45">
        <v>11</v>
      </c>
      <c r="C10" s="46">
        <v>0</v>
      </c>
      <c r="D10" s="118">
        <v>60.7</v>
      </c>
      <c r="E10" s="47">
        <v>36</v>
      </c>
      <c r="F10" s="48">
        <f t="shared" si="0"/>
        <v>61.410000000000011</v>
      </c>
      <c r="G10" s="49">
        <f t="shared" si="1"/>
        <v>1.6861111111111111</v>
      </c>
      <c r="I10" s="50"/>
      <c r="J10" s="6"/>
      <c r="K10" s="6"/>
      <c r="L10" s="6"/>
      <c r="M10" s="6">
        <v>1</v>
      </c>
      <c r="N10" s="51"/>
      <c r="P10" s="50"/>
      <c r="Q10" s="6"/>
      <c r="R10" s="6"/>
      <c r="S10" s="6"/>
      <c r="T10" s="6"/>
      <c r="U10" s="51">
        <v>1</v>
      </c>
    </row>
    <row r="11" spans="1:21" s="27" customFormat="1" ht="16" hidden="1" thickBot="1">
      <c r="A11" s="72">
        <v>42289</v>
      </c>
      <c r="B11" s="52"/>
      <c r="C11" s="53">
        <v>180</v>
      </c>
      <c r="D11" s="24">
        <v>0</v>
      </c>
      <c r="E11" s="24">
        <v>0</v>
      </c>
      <c r="F11" s="110">
        <f t="shared" si="0"/>
        <v>241.41000000000003</v>
      </c>
      <c r="G11" s="25"/>
      <c r="H11" s="54"/>
      <c r="I11" s="26"/>
      <c r="J11" s="26"/>
      <c r="K11" s="26"/>
      <c r="L11" s="26"/>
      <c r="M11" s="26"/>
      <c r="N11" s="26"/>
      <c r="O11" s="54"/>
      <c r="P11" s="26"/>
      <c r="Q11" s="26"/>
      <c r="R11" s="26"/>
      <c r="S11" s="26"/>
      <c r="T11" s="26"/>
      <c r="U11" s="26"/>
    </row>
    <row r="12" spans="1:21" hidden="1">
      <c r="A12" s="28">
        <v>42295</v>
      </c>
      <c r="B12" s="29">
        <v>14</v>
      </c>
      <c r="C12" s="30">
        <v>0</v>
      </c>
      <c r="D12" s="31">
        <v>0</v>
      </c>
      <c r="E12" s="31">
        <v>36</v>
      </c>
      <c r="F12" s="32">
        <f t="shared" si="0"/>
        <v>205.41000000000003</v>
      </c>
      <c r="G12" s="33">
        <f>D12/E12</f>
        <v>0</v>
      </c>
      <c r="I12" s="34"/>
      <c r="J12" s="35"/>
      <c r="K12" s="35"/>
      <c r="L12" s="35"/>
      <c r="M12" s="35"/>
      <c r="N12" s="36"/>
      <c r="P12" s="34"/>
      <c r="Q12" s="35"/>
      <c r="R12" s="35"/>
      <c r="S12" s="35"/>
      <c r="T12" s="35"/>
      <c r="U12" s="36"/>
    </row>
    <row r="13" spans="1:21" hidden="1">
      <c r="A13" s="37">
        <v>42302</v>
      </c>
      <c r="B13" s="38">
        <v>16</v>
      </c>
      <c r="C13" s="39">
        <v>0</v>
      </c>
      <c r="D13" s="39">
        <v>0</v>
      </c>
      <c r="E13" s="40">
        <v>36</v>
      </c>
      <c r="F13" s="41">
        <f t="shared" si="0"/>
        <v>169.41000000000003</v>
      </c>
      <c r="G13" s="42">
        <f t="shared" ref="G13:G21" si="2">D13/E13</f>
        <v>0</v>
      </c>
      <c r="I13" s="43"/>
      <c r="J13" s="3"/>
      <c r="K13" s="3"/>
      <c r="L13" s="3"/>
      <c r="M13" s="3"/>
      <c r="N13" s="5"/>
      <c r="P13" s="43"/>
      <c r="Q13" s="3"/>
      <c r="R13" s="3"/>
      <c r="S13" s="3"/>
      <c r="T13" s="3"/>
      <c r="U13" s="5"/>
    </row>
    <row r="14" spans="1:21" hidden="1">
      <c r="A14" s="55">
        <v>42306</v>
      </c>
      <c r="B14" s="111" t="s">
        <v>13</v>
      </c>
      <c r="C14" s="75">
        <v>0</v>
      </c>
      <c r="D14" s="75">
        <v>0</v>
      </c>
      <c r="E14" s="76">
        <v>22</v>
      </c>
      <c r="F14" s="41">
        <f t="shared" si="0"/>
        <v>147.41000000000003</v>
      </c>
      <c r="G14" s="42">
        <f t="shared" si="2"/>
        <v>0</v>
      </c>
      <c r="I14" s="43"/>
      <c r="J14" s="3"/>
      <c r="K14" s="3"/>
      <c r="L14" s="3"/>
      <c r="M14" s="3"/>
      <c r="N14" s="5"/>
      <c r="P14" s="43"/>
      <c r="Q14" s="3"/>
      <c r="R14" s="3"/>
      <c r="S14" s="3"/>
      <c r="T14" s="3"/>
      <c r="U14" s="5"/>
    </row>
    <row r="15" spans="1:21" hidden="1">
      <c r="A15" s="37">
        <v>42309</v>
      </c>
      <c r="B15" s="38">
        <v>18</v>
      </c>
      <c r="C15" s="39">
        <v>0</v>
      </c>
      <c r="D15" s="39">
        <v>0</v>
      </c>
      <c r="E15" s="40">
        <v>12</v>
      </c>
      <c r="F15" s="41">
        <f t="shared" si="0"/>
        <v>135.41000000000003</v>
      </c>
      <c r="G15" s="42">
        <f t="shared" si="2"/>
        <v>0</v>
      </c>
      <c r="I15" s="43"/>
      <c r="J15" s="3"/>
      <c r="K15" s="3"/>
      <c r="L15" s="3"/>
      <c r="M15" s="3"/>
      <c r="N15" s="5"/>
      <c r="P15" s="43"/>
      <c r="Q15" s="3"/>
      <c r="R15" s="3"/>
      <c r="S15" s="3"/>
      <c r="T15" s="3"/>
      <c r="U15" s="5"/>
    </row>
    <row r="16" spans="1:21" hidden="1">
      <c r="A16" s="55">
        <v>42314</v>
      </c>
      <c r="B16" s="111" t="s">
        <v>14</v>
      </c>
      <c r="C16" s="75">
        <v>0</v>
      </c>
      <c r="D16" s="75">
        <v>0</v>
      </c>
      <c r="E16" s="76">
        <v>26</v>
      </c>
      <c r="F16" s="41">
        <f t="shared" si="0"/>
        <v>109.41000000000003</v>
      </c>
      <c r="G16" s="42">
        <f t="shared" si="2"/>
        <v>0</v>
      </c>
      <c r="I16" s="56"/>
      <c r="J16" s="57"/>
      <c r="K16" s="57"/>
      <c r="L16" s="57"/>
      <c r="M16" s="57"/>
      <c r="N16" s="58"/>
      <c r="P16" s="56"/>
      <c r="Q16" s="57"/>
      <c r="R16" s="57"/>
      <c r="S16" s="57"/>
      <c r="T16" s="57"/>
      <c r="U16" s="58"/>
    </row>
    <row r="17" spans="1:33" hidden="1">
      <c r="A17" s="37">
        <v>42316</v>
      </c>
      <c r="B17" s="38">
        <v>20</v>
      </c>
      <c r="C17" s="39">
        <v>0</v>
      </c>
      <c r="D17" s="39">
        <v>0</v>
      </c>
      <c r="E17" s="40">
        <v>12</v>
      </c>
      <c r="F17" s="41">
        <f t="shared" si="0"/>
        <v>97.410000000000025</v>
      </c>
      <c r="G17" s="42">
        <f>D17/E17</f>
        <v>0</v>
      </c>
      <c r="I17" s="43"/>
      <c r="J17" s="3"/>
      <c r="K17" s="3"/>
      <c r="L17" s="3"/>
      <c r="M17" s="3"/>
      <c r="N17" s="5"/>
      <c r="P17" s="43"/>
      <c r="Q17" s="3"/>
      <c r="R17" s="3"/>
      <c r="S17" s="3"/>
      <c r="T17" s="3"/>
      <c r="U17" s="5"/>
      <c r="X17" t="s">
        <v>0</v>
      </c>
    </row>
    <row r="18" spans="1:33" hidden="1">
      <c r="A18" s="66">
        <v>42320</v>
      </c>
      <c r="B18" s="112" t="s">
        <v>14</v>
      </c>
      <c r="C18" s="67">
        <v>0</v>
      </c>
      <c r="D18" s="67">
        <v>0</v>
      </c>
      <c r="E18" s="67">
        <v>26</v>
      </c>
      <c r="F18" s="41">
        <f t="shared" si="0"/>
        <v>71.410000000000025</v>
      </c>
      <c r="G18" s="42">
        <f t="shared" si="2"/>
        <v>0</v>
      </c>
      <c r="I18" s="59"/>
      <c r="J18" s="60"/>
      <c r="K18" s="60"/>
      <c r="L18" s="60"/>
      <c r="M18" s="60"/>
      <c r="N18" s="61"/>
      <c r="P18" s="59"/>
      <c r="Q18" s="60"/>
      <c r="R18" s="60"/>
      <c r="S18" s="60"/>
      <c r="T18" s="60"/>
      <c r="U18" s="61"/>
    </row>
    <row r="19" spans="1:33" hidden="1">
      <c r="A19" s="62">
        <v>42321</v>
      </c>
      <c r="B19" s="63">
        <v>21</v>
      </c>
      <c r="C19" s="64">
        <v>0</v>
      </c>
      <c r="D19" s="64">
        <v>0</v>
      </c>
      <c r="E19" s="65">
        <v>12</v>
      </c>
      <c r="F19" s="41">
        <f t="shared" si="0"/>
        <v>59.410000000000025</v>
      </c>
      <c r="G19" s="42">
        <f t="shared" si="2"/>
        <v>0</v>
      </c>
      <c r="I19" s="43"/>
      <c r="J19" s="3"/>
      <c r="K19" s="3"/>
      <c r="L19" s="3"/>
      <c r="M19" s="3"/>
      <c r="N19" s="5"/>
      <c r="P19" s="43"/>
      <c r="Q19" s="3"/>
      <c r="R19" s="3"/>
      <c r="S19" s="3"/>
      <c r="T19" s="3"/>
      <c r="U19" s="5"/>
    </row>
    <row r="20" spans="1:33" hidden="1">
      <c r="A20" s="66">
        <v>42328</v>
      </c>
      <c r="B20" s="112" t="s">
        <v>14</v>
      </c>
      <c r="C20" s="67">
        <v>0</v>
      </c>
      <c r="D20" s="67">
        <v>0</v>
      </c>
      <c r="E20" s="67">
        <v>26</v>
      </c>
      <c r="F20" s="41">
        <f t="shared" si="0"/>
        <v>33.410000000000025</v>
      </c>
      <c r="G20" s="42">
        <f t="shared" si="2"/>
        <v>0</v>
      </c>
      <c r="I20" s="43"/>
      <c r="J20" s="3"/>
      <c r="K20" s="3"/>
      <c r="L20" s="3"/>
      <c r="M20" s="3"/>
      <c r="N20" s="5"/>
      <c r="P20" s="43"/>
      <c r="Q20" s="3"/>
      <c r="R20" s="3"/>
      <c r="S20" s="3"/>
      <c r="T20" s="3"/>
      <c r="U20" s="5"/>
    </row>
    <row r="21" spans="1:33" ht="16" hidden="1" thickBot="1">
      <c r="A21" s="68">
        <v>42330</v>
      </c>
      <c r="B21" s="69">
        <v>22</v>
      </c>
      <c r="C21" s="70">
        <v>0</v>
      </c>
      <c r="D21" s="70">
        <v>0</v>
      </c>
      <c r="E21" s="71">
        <v>12</v>
      </c>
      <c r="F21" s="48">
        <f t="shared" si="0"/>
        <v>21.410000000000025</v>
      </c>
      <c r="G21" s="49">
        <f t="shared" si="2"/>
        <v>0</v>
      </c>
      <c r="I21" s="43"/>
      <c r="J21" s="3"/>
      <c r="K21" s="3"/>
      <c r="L21" s="3"/>
      <c r="M21" s="3"/>
      <c r="N21" s="5"/>
      <c r="P21" s="43"/>
      <c r="Q21" s="3"/>
      <c r="R21" s="3"/>
      <c r="S21" s="3"/>
      <c r="T21" s="3"/>
      <c r="U21" s="5"/>
    </row>
    <row r="22" spans="1:33" s="27" customFormat="1" ht="16" hidden="1" thickBot="1">
      <c r="A22" s="72">
        <v>42334</v>
      </c>
      <c r="B22" s="52"/>
      <c r="C22" s="53">
        <v>180</v>
      </c>
      <c r="D22" s="24">
        <v>0</v>
      </c>
      <c r="E22" s="24">
        <v>0</v>
      </c>
      <c r="F22" s="110">
        <f t="shared" si="0"/>
        <v>201.41000000000003</v>
      </c>
      <c r="G22" s="25"/>
      <c r="H22" s="54"/>
      <c r="I22" s="26"/>
      <c r="J22" s="26"/>
      <c r="K22" s="26"/>
      <c r="L22" s="26"/>
      <c r="M22" s="26"/>
      <c r="N22" s="26"/>
      <c r="O22" s="54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</row>
    <row r="23" spans="1:33" hidden="1">
      <c r="A23" s="91">
        <v>42336</v>
      </c>
      <c r="B23" s="92" t="s">
        <v>13</v>
      </c>
      <c r="C23" s="93">
        <v>0</v>
      </c>
      <c r="D23" s="93">
        <v>0</v>
      </c>
      <c r="E23" s="93">
        <v>22</v>
      </c>
      <c r="F23" s="32">
        <f t="shared" si="0"/>
        <v>179.41000000000003</v>
      </c>
      <c r="G23" s="33">
        <f>D23/E23</f>
        <v>0</v>
      </c>
      <c r="I23" s="34"/>
      <c r="J23" s="35"/>
      <c r="K23" s="35"/>
      <c r="L23" s="35"/>
      <c r="M23" s="35"/>
      <c r="N23" s="36"/>
      <c r="P23" s="34"/>
      <c r="Q23" s="35"/>
      <c r="R23" s="35"/>
      <c r="S23" s="35"/>
      <c r="T23" s="35"/>
      <c r="U23" s="36"/>
    </row>
    <row r="24" spans="1:33" hidden="1">
      <c r="A24" s="73">
        <v>42341</v>
      </c>
      <c r="B24" s="74" t="s">
        <v>13</v>
      </c>
      <c r="C24" s="75">
        <v>0</v>
      </c>
      <c r="D24" s="88">
        <v>6</v>
      </c>
      <c r="E24" s="75">
        <v>22</v>
      </c>
      <c r="F24" s="41">
        <f t="shared" si="0"/>
        <v>163.41000000000003</v>
      </c>
      <c r="G24" s="42">
        <f t="shared" ref="G24:G36" si="3">D24/E24</f>
        <v>0.27272727272727271</v>
      </c>
      <c r="I24" s="43"/>
      <c r="J24" s="3"/>
      <c r="K24" s="3"/>
      <c r="L24" s="3"/>
      <c r="M24" s="3"/>
      <c r="N24" s="5"/>
      <c r="P24" s="43"/>
      <c r="Q24" s="3"/>
      <c r="R24" s="3"/>
      <c r="S24" s="3"/>
      <c r="T24" s="3"/>
      <c r="U24" s="5"/>
    </row>
    <row r="25" spans="1:33" hidden="1">
      <c r="A25" s="73">
        <v>42348</v>
      </c>
      <c r="B25" s="74" t="s">
        <v>13</v>
      </c>
      <c r="C25" s="75">
        <v>0</v>
      </c>
      <c r="D25" s="75">
        <v>0</v>
      </c>
      <c r="E25" s="75">
        <v>22</v>
      </c>
      <c r="F25" s="41">
        <f t="shared" si="0"/>
        <v>141.41000000000003</v>
      </c>
      <c r="G25" s="42">
        <f t="shared" si="3"/>
        <v>0</v>
      </c>
      <c r="I25" s="43"/>
      <c r="J25" s="3"/>
      <c r="K25" s="3"/>
      <c r="L25" s="3"/>
      <c r="M25" s="3"/>
      <c r="N25" s="5"/>
      <c r="P25" s="43"/>
      <c r="Q25" s="3"/>
      <c r="R25" s="3"/>
      <c r="S25" s="3"/>
      <c r="T25" s="3"/>
      <c r="U25" s="5"/>
    </row>
    <row r="26" spans="1:33" hidden="1">
      <c r="A26" s="73">
        <v>42362</v>
      </c>
      <c r="B26" s="74" t="s">
        <v>13</v>
      </c>
      <c r="C26" s="75">
        <v>0</v>
      </c>
      <c r="D26" s="88">
        <v>40</v>
      </c>
      <c r="E26" s="75">
        <v>22</v>
      </c>
      <c r="F26" s="41">
        <f t="shared" si="0"/>
        <v>159.41000000000003</v>
      </c>
      <c r="G26" s="42">
        <f t="shared" si="3"/>
        <v>1.8181818181818181</v>
      </c>
      <c r="I26" s="43"/>
      <c r="J26" s="3"/>
      <c r="K26" s="3"/>
      <c r="L26" s="3"/>
      <c r="M26" s="3"/>
      <c r="N26" s="5"/>
      <c r="P26" s="43"/>
      <c r="Q26" s="3"/>
      <c r="R26" s="3"/>
      <c r="S26" s="3"/>
      <c r="T26" s="3"/>
      <c r="U26" s="5"/>
    </row>
    <row r="27" spans="1:33" hidden="1">
      <c r="A27" s="73">
        <v>42369</v>
      </c>
      <c r="B27" s="74" t="s">
        <v>13</v>
      </c>
      <c r="C27" s="75">
        <v>0</v>
      </c>
      <c r="D27" s="76">
        <v>0</v>
      </c>
      <c r="E27" s="75">
        <v>22</v>
      </c>
      <c r="F27" s="41">
        <f t="shared" si="0"/>
        <v>137.41000000000003</v>
      </c>
      <c r="G27" s="42">
        <f t="shared" si="3"/>
        <v>0</v>
      </c>
      <c r="H27" s="77"/>
      <c r="I27" s="43"/>
      <c r="J27" s="3"/>
      <c r="K27" s="3"/>
      <c r="L27" s="3"/>
      <c r="M27" s="3"/>
      <c r="N27" s="5"/>
      <c r="O27" s="77"/>
      <c r="P27" s="43"/>
      <c r="Q27" s="3"/>
      <c r="R27" s="3"/>
      <c r="S27" s="3"/>
      <c r="T27" s="3"/>
      <c r="U27" s="5"/>
    </row>
    <row r="28" spans="1:33" hidden="1">
      <c r="A28" s="73">
        <v>42376</v>
      </c>
      <c r="B28" s="74" t="s">
        <v>13</v>
      </c>
      <c r="C28" s="75">
        <v>0</v>
      </c>
      <c r="D28" s="76">
        <v>0</v>
      </c>
      <c r="E28" s="75">
        <v>22</v>
      </c>
      <c r="F28" s="41">
        <f t="shared" si="0"/>
        <v>115.41000000000003</v>
      </c>
      <c r="G28" s="42">
        <f t="shared" si="3"/>
        <v>0</v>
      </c>
      <c r="H28" s="77"/>
      <c r="I28" s="78"/>
      <c r="J28" s="79"/>
      <c r="K28" s="79"/>
      <c r="L28" s="79"/>
      <c r="M28" s="79"/>
      <c r="N28" s="80"/>
      <c r="O28" s="77"/>
      <c r="P28" s="78"/>
      <c r="Q28" s="79"/>
      <c r="R28" s="79"/>
      <c r="S28" s="79"/>
      <c r="T28" s="79"/>
      <c r="U28" s="80"/>
      <c r="V28" t="s">
        <v>0</v>
      </c>
    </row>
    <row r="29" spans="1:33" hidden="1">
      <c r="A29" s="73">
        <v>42383</v>
      </c>
      <c r="B29" s="74" t="s">
        <v>13</v>
      </c>
      <c r="C29" s="75">
        <v>0</v>
      </c>
      <c r="D29" s="76">
        <v>0</v>
      </c>
      <c r="E29" s="75">
        <v>22</v>
      </c>
      <c r="F29" s="41">
        <f t="shared" si="0"/>
        <v>93.410000000000025</v>
      </c>
      <c r="G29" s="42">
        <f t="shared" si="3"/>
        <v>0</v>
      </c>
      <c r="H29" s="77"/>
      <c r="I29" s="78"/>
      <c r="J29" s="79"/>
      <c r="K29" s="79"/>
      <c r="L29" s="79"/>
      <c r="M29" s="79"/>
      <c r="N29" s="80"/>
      <c r="O29" s="77"/>
      <c r="P29" s="78"/>
      <c r="Q29" s="79"/>
      <c r="R29" s="79"/>
      <c r="S29" s="79"/>
      <c r="T29" s="79"/>
      <c r="U29" s="80"/>
    </row>
    <row r="30" spans="1:33" hidden="1">
      <c r="A30" s="73">
        <v>42391</v>
      </c>
      <c r="B30" s="74" t="s">
        <v>14</v>
      </c>
      <c r="C30" s="75">
        <v>0</v>
      </c>
      <c r="D30" s="88">
        <v>18.149999999999999</v>
      </c>
      <c r="E30" s="75">
        <v>26</v>
      </c>
      <c r="F30" s="41">
        <f t="shared" si="0"/>
        <v>85.560000000000031</v>
      </c>
      <c r="G30" s="42">
        <f t="shared" si="3"/>
        <v>0.69807692307692304</v>
      </c>
      <c r="H30" s="77"/>
      <c r="I30" s="78"/>
      <c r="J30" s="79"/>
      <c r="K30" s="79"/>
      <c r="L30" s="79"/>
      <c r="M30" s="79"/>
      <c r="N30" s="80"/>
      <c r="O30" s="77"/>
      <c r="P30" s="78"/>
      <c r="Q30" s="79"/>
      <c r="R30" s="79"/>
      <c r="S30" s="79"/>
      <c r="T30" s="79"/>
      <c r="U30" s="80"/>
    </row>
    <row r="31" spans="1:33" ht="16" hidden="1" thickBot="1">
      <c r="A31" s="73">
        <v>42399</v>
      </c>
      <c r="B31" s="74" t="s">
        <v>13</v>
      </c>
      <c r="C31" s="75">
        <v>0</v>
      </c>
      <c r="D31" s="88">
        <v>6</v>
      </c>
      <c r="E31" s="75">
        <v>22</v>
      </c>
      <c r="F31" s="41">
        <f t="shared" si="0"/>
        <v>69.560000000000031</v>
      </c>
      <c r="G31" s="42">
        <f t="shared" si="3"/>
        <v>0.27272727272727271</v>
      </c>
      <c r="H31" s="77"/>
      <c r="I31" s="81"/>
      <c r="J31" s="82"/>
      <c r="K31" s="82"/>
      <c r="L31" s="82"/>
      <c r="M31" s="82"/>
      <c r="N31" s="83"/>
      <c r="O31" s="77"/>
      <c r="P31" s="81"/>
      <c r="Q31" s="82"/>
      <c r="R31" s="82"/>
      <c r="S31" s="82"/>
      <c r="T31" s="82"/>
      <c r="U31" s="83"/>
    </row>
    <row r="32" spans="1:33" s="27" customFormat="1" ht="16" hidden="1" thickBot="1">
      <c r="A32" s="73">
        <v>42406</v>
      </c>
      <c r="B32" s="74" t="s">
        <v>13</v>
      </c>
      <c r="C32" s="75">
        <v>0</v>
      </c>
      <c r="D32" s="76">
        <v>0</v>
      </c>
      <c r="E32" s="75">
        <v>22</v>
      </c>
      <c r="F32" s="41">
        <f t="shared" si="0"/>
        <v>47.560000000000031</v>
      </c>
      <c r="G32" s="42">
        <f t="shared" si="3"/>
        <v>0</v>
      </c>
      <c r="H32" s="54"/>
      <c r="I32" s="26"/>
      <c r="J32" s="26"/>
      <c r="K32" s="26"/>
      <c r="L32" s="26"/>
      <c r="M32" s="26"/>
      <c r="N32" s="26"/>
      <c r="O32" s="54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</row>
    <row r="33" spans="1:25" hidden="1">
      <c r="A33" s="73">
        <v>42418</v>
      </c>
      <c r="B33" s="74" t="s">
        <v>13</v>
      </c>
      <c r="C33" s="75">
        <v>0</v>
      </c>
      <c r="D33" s="76">
        <v>0</v>
      </c>
      <c r="E33" s="75">
        <v>22</v>
      </c>
      <c r="F33" s="41">
        <f t="shared" si="0"/>
        <v>25.560000000000031</v>
      </c>
      <c r="G33" s="42">
        <f t="shared" si="3"/>
        <v>0</v>
      </c>
      <c r="I33" s="34"/>
      <c r="J33" s="35"/>
      <c r="K33" s="35"/>
      <c r="L33" s="35"/>
      <c r="M33" s="35"/>
      <c r="N33" s="36"/>
      <c r="P33" s="34"/>
      <c r="Q33" s="35"/>
      <c r="R33" s="35"/>
      <c r="S33" s="35"/>
      <c r="T33" s="35"/>
      <c r="U33" s="36"/>
    </row>
    <row r="34" spans="1:25" hidden="1">
      <c r="A34" s="73">
        <v>42427</v>
      </c>
      <c r="B34" s="74" t="s">
        <v>13</v>
      </c>
      <c r="C34" s="75">
        <v>0</v>
      </c>
      <c r="D34" s="88">
        <v>8</v>
      </c>
      <c r="E34" s="75">
        <v>22</v>
      </c>
      <c r="F34" s="41">
        <f t="shared" si="0"/>
        <v>11.560000000000031</v>
      </c>
      <c r="G34" s="42">
        <f t="shared" si="3"/>
        <v>0.36363636363636365</v>
      </c>
      <c r="I34" s="43"/>
      <c r="J34" s="3"/>
      <c r="K34" s="3"/>
      <c r="L34" s="3"/>
      <c r="M34" s="3"/>
      <c r="N34" s="5"/>
      <c r="P34" s="43"/>
      <c r="Q34" s="3"/>
      <c r="R34" s="3"/>
      <c r="S34" s="3"/>
      <c r="T34" s="3"/>
      <c r="U34" s="5"/>
    </row>
    <row r="35" spans="1:25" hidden="1">
      <c r="A35" s="73">
        <v>42434</v>
      </c>
      <c r="B35" s="74" t="s">
        <v>13</v>
      </c>
      <c r="C35" s="75">
        <v>0</v>
      </c>
      <c r="D35" s="88">
        <v>16</v>
      </c>
      <c r="E35" s="75">
        <v>11</v>
      </c>
      <c r="F35" s="41">
        <f t="shared" si="0"/>
        <v>16.560000000000031</v>
      </c>
      <c r="G35" s="42">
        <f t="shared" si="3"/>
        <v>1.4545454545454546</v>
      </c>
      <c r="I35" s="43"/>
      <c r="J35" s="3"/>
      <c r="K35" s="3"/>
      <c r="L35" s="3"/>
      <c r="M35" s="3"/>
      <c r="N35" s="5"/>
      <c r="P35" s="43"/>
      <c r="Q35" s="3"/>
      <c r="R35" s="3"/>
      <c r="S35" s="3"/>
      <c r="T35" s="3"/>
      <c r="U35" s="5"/>
    </row>
    <row r="36" spans="1:25" hidden="1">
      <c r="A36" s="73" t="s">
        <v>16</v>
      </c>
      <c r="B36" s="94" t="s">
        <v>13</v>
      </c>
      <c r="C36" s="75">
        <v>0</v>
      </c>
      <c r="D36" s="88">
        <v>5</v>
      </c>
      <c r="E36" s="75">
        <v>10</v>
      </c>
      <c r="F36" s="41">
        <f t="shared" si="0"/>
        <v>11.560000000000031</v>
      </c>
      <c r="G36" s="42">
        <f t="shared" si="3"/>
        <v>0.5</v>
      </c>
      <c r="I36" s="43"/>
      <c r="J36" s="3"/>
      <c r="K36" s="3"/>
      <c r="L36" s="3"/>
      <c r="M36" s="3"/>
      <c r="N36" s="5"/>
      <c r="P36" s="43"/>
      <c r="Q36" s="3"/>
      <c r="R36" s="3"/>
      <c r="S36" s="3"/>
      <c r="T36" s="3"/>
      <c r="U36" s="5"/>
    </row>
    <row r="37" spans="1:25" ht="16" hidden="1" thickBot="1">
      <c r="A37" s="95" t="s">
        <v>17</v>
      </c>
      <c r="B37" s="96" t="s">
        <v>13</v>
      </c>
      <c r="C37" s="89">
        <v>0</v>
      </c>
      <c r="D37" s="90">
        <v>0</v>
      </c>
      <c r="E37" s="89">
        <v>10</v>
      </c>
      <c r="F37" s="48">
        <f t="shared" si="0"/>
        <v>1.5600000000000307</v>
      </c>
      <c r="G37" s="49">
        <f>D37/E37</f>
        <v>0</v>
      </c>
      <c r="I37" s="50"/>
      <c r="J37" s="6"/>
      <c r="K37" s="6"/>
      <c r="L37" s="6"/>
      <c r="M37" s="6"/>
      <c r="N37" s="51"/>
      <c r="P37" s="50"/>
      <c r="Q37" s="6"/>
      <c r="R37" s="6"/>
      <c r="S37" s="6"/>
      <c r="T37" s="6"/>
      <c r="U37" s="51"/>
    </row>
    <row r="38" spans="1:25" ht="16" hidden="1" thickBot="1">
      <c r="A38" s="104">
        <v>42453</v>
      </c>
      <c r="B38" s="52"/>
      <c r="C38" s="53">
        <v>116</v>
      </c>
      <c r="D38" s="24">
        <v>0</v>
      </c>
      <c r="E38" s="24">
        <v>0</v>
      </c>
      <c r="F38" s="110">
        <f t="shared" ref="F38:F69" si="4">F37+C38+D38-E38</f>
        <v>117.56000000000003</v>
      </c>
      <c r="G38" s="105"/>
      <c r="H38" s="54"/>
      <c r="I38" s="26"/>
      <c r="J38" s="26"/>
      <c r="K38" s="26"/>
      <c r="L38" s="26"/>
      <c r="M38" s="26"/>
      <c r="N38" s="26"/>
      <c r="O38" s="54"/>
      <c r="P38" s="26"/>
      <c r="Q38" s="26"/>
      <c r="R38" s="26"/>
      <c r="S38" s="26"/>
      <c r="T38" s="26"/>
      <c r="U38" s="26"/>
      <c r="V38" s="1" t="s">
        <v>0</v>
      </c>
    </row>
    <row r="39" spans="1:25" hidden="1">
      <c r="A39" s="101" t="s">
        <v>18</v>
      </c>
      <c r="B39" s="106" t="s">
        <v>13</v>
      </c>
      <c r="C39" s="93">
        <v>0</v>
      </c>
      <c r="D39" s="102">
        <v>0</v>
      </c>
      <c r="E39" s="93">
        <v>10</v>
      </c>
      <c r="F39" s="32">
        <f t="shared" si="4"/>
        <v>107.56000000000003</v>
      </c>
      <c r="G39" s="33">
        <f>D39/E39</f>
        <v>0</v>
      </c>
      <c r="I39" s="34"/>
      <c r="J39" s="35"/>
      <c r="K39" s="35"/>
      <c r="L39" s="35"/>
      <c r="M39" s="35"/>
      <c r="N39" s="36"/>
      <c r="P39" s="34"/>
      <c r="Q39" s="35"/>
      <c r="R39" s="35"/>
      <c r="S39" s="35"/>
      <c r="T39" s="35"/>
      <c r="U39" s="36"/>
    </row>
    <row r="40" spans="1:25" hidden="1">
      <c r="A40" s="107" t="s">
        <v>19</v>
      </c>
      <c r="B40" s="94" t="s">
        <v>13</v>
      </c>
      <c r="C40" s="75">
        <v>0</v>
      </c>
      <c r="D40" s="76">
        <v>0</v>
      </c>
      <c r="E40" s="75">
        <v>10</v>
      </c>
      <c r="F40" s="41">
        <f t="shared" si="4"/>
        <v>97.560000000000031</v>
      </c>
      <c r="G40" s="42">
        <f t="shared" ref="G40:G154" si="5">D40/E40</f>
        <v>0</v>
      </c>
      <c r="I40" s="43"/>
      <c r="J40" s="3"/>
      <c r="K40" s="3"/>
      <c r="L40" s="3"/>
      <c r="M40" s="3"/>
      <c r="N40" s="5"/>
      <c r="P40" s="43"/>
      <c r="Q40" s="3"/>
      <c r="R40" s="3"/>
      <c r="S40" s="3"/>
      <c r="T40" s="3"/>
      <c r="U40" s="5"/>
    </row>
    <row r="41" spans="1:25" hidden="1">
      <c r="A41" s="107" t="s">
        <v>20</v>
      </c>
      <c r="B41" s="94" t="s">
        <v>13</v>
      </c>
      <c r="C41" s="75">
        <v>0</v>
      </c>
      <c r="D41" s="88">
        <v>5</v>
      </c>
      <c r="E41" s="75">
        <v>10</v>
      </c>
      <c r="F41" s="41">
        <f t="shared" si="4"/>
        <v>92.560000000000031</v>
      </c>
      <c r="G41" s="42">
        <f t="shared" si="5"/>
        <v>0.5</v>
      </c>
      <c r="I41" s="43"/>
      <c r="J41" s="3"/>
      <c r="K41" s="3"/>
      <c r="L41" s="3"/>
      <c r="M41" s="3"/>
      <c r="N41" s="5"/>
      <c r="P41" s="43"/>
      <c r="Q41" s="3"/>
      <c r="R41" s="3"/>
      <c r="S41" s="3"/>
      <c r="T41" s="3"/>
      <c r="U41" s="5"/>
    </row>
    <row r="42" spans="1:25" hidden="1">
      <c r="A42" s="107" t="s">
        <v>21</v>
      </c>
      <c r="B42" s="94" t="s">
        <v>13</v>
      </c>
      <c r="C42" s="75">
        <v>0</v>
      </c>
      <c r="D42" s="76">
        <v>0</v>
      </c>
      <c r="E42" s="75">
        <v>10</v>
      </c>
      <c r="F42" s="41">
        <f t="shared" si="4"/>
        <v>82.560000000000031</v>
      </c>
      <c r="G42" s="42">
        <f t="shared" si="5"/>
        <v>0</v>
      </c>
      <c r="I42" s="43"/>
      <c r="J42" s="3"/>
      <c r="K42" s="3"/>
      <c r="L42" s="3"/>
      <c r="M42" s="3"/>
      <c r="N42" s="5"/>
      <c r="P42" s="43"/>
      <c r="Q42" s="3"/>
      <c r="R42" s="3"/>
      <c r="S42" s="3"/>
      <c r="T42" s="3"/>
      <c r="U42" s="5"/>
    </row>
    <row r="43" spans="1:25" hidden="1">
      <c r="A43" s="107" t="s">
        <v>22</v>
      </c>
      <c r="B43" s="94" t="s">
        <v>13</v>
      </c>
      <c r="C43" s="75">
        <v>0</v>
      </c>
      <c r="D43" s="76">
        <v>0</v>
      </c>
      <c r="E43" s="75">
        <v>10</v>
      </c>
      <c r="F43" s="41">
        <f t="shared" si="4"/>
        <v>72.560000000000031</v>
      </c>
      <c r="G43" s="42">
        <f t="shared" si="5"/>
        <v>0</v>
      </c>
      <c r="I43" s="43"/>
      <c r="J43" s="3"/>
      <c r="K43" s="3"/>
      <c r="L43" s="3"/>
      <c r="M43" s="3"/>
      <c r="N43" s="5"/>
      <c r="P43" s="43"/>
      <c r="Q43" s="3"/>
      <c r="R43" s="3"/>
      <c r="S43" s="3"/>
      <c r="T43" s="3"/>
      <c r="U43" s="5"/>
    </row>
    <row r="44" spans="1:25" hidden="1">
      <c r="A44" s="107" t="s">
        <v>23</v>
      </c>
      <c r="B44" s="94" t="s">
        <v>13</v>
      </c>
      <c r="C44" s="75">
        <v>0</v>
      </c>
      <c r="D44" s="76">
        <v>0</v>
      </c>
      <c r="E44" s="75">
        <v>10</v>
      </c>
      <c r="F44" s="41">
        <f t="shared" si="4"/>
        <v>62.560000000000031</v>
      </c>
      <c r="G44" s="42">
        <f t="shared" si="5"/>
        <v>0</v>
      </c>
      <c r="I44" s="56"/>
      <c r="J44" s="57"/>
      <c r="K44" s="57"/>
      <c r="L44" s="57"/>
      <c r="M44" s="57"/>
      <c r="N44" s="58"/>
      <c r="P44" s="56"/>
      <c r="Q44" s="57"/>
      <c r="R44" s="57"/>
      <c r="S44" s="57"/>
      <c r="T44" s="57"/>
      <c r="U44" s="58"/>
    </row>
    <row r="45" spans="1:25" hidden="1">
      <c r="A45" s="107" t="s">
        <v>24</v>
      </c>
      <c r="B45" s="94" t="s">
        <v>13</v>
      </c>
      <c r="C45" s="75">
        <v>0</v>
      </c>
      <c r="D45" s="76">
        <v>0</v>
      </c>
      <c r="E45" s="75">
        <v>10</v>
      </c>
      <c r="F45" s="41">
        <f t="shared" si="4"/>
        <v>52.560000000000031</v>
      </c>
      <c r="G45" s="42">
        <f t="shared" si="5"/>
        <v>0</v>
      </c>
      <c r="I45" s="56"/>
      <c r="J45" s="57"/>
      <c r="K45" s="57"/>
      <c r="L45" s="57"/>
      <c r="M45" s="57"/>
      <c r="N45" s="58"/>
      <c r="P45" s="56"/>
      <c r="Q45" s="57"/>
      <c r="R45" s="57"/>
      <c r="S45" s="57"/>
      <c r="T45" s="57"/>
      <c r="U45" s="58"/>
    </row>
    <row r="46" spans="1:25" hidden="1">
      <c r="A46" s="107" t="s">
        <v>25</v>
      </c>
      <c r="B46" s="94" t="s">
        <v>13</v>
      </c>
      <c r="C46" s="75">
        <v>0</v>
      </c>
      <c r="D46" s="76">
        <v>0</v>
      </c>
      <c r="E46" s="75">
        <v>10</v>
      </c>
      <c r="F46" s="41">
        <f t="shared" si="4"/>
        <v>42.560000000000031</v>
      </c>
      <c r="G46" s="42">
        <f t="shared" si="5"/>
        <v>0</v>
      </c>
      <c r="I46" s="56"/>
      <c r="J46" s="57"/>
      <c r="K46" s="57"/>
      <c r="L46" s="57"/>
      <c r="M46" s="57"/>
      <c r="N46" s="58"/>
      <c r="P46" s="56"/>
      <c r="Q46" s="57"/>
      <c r="R46" s="57"/>
      <c r="S46" s="57"/>
      <c r="T46" s="57"/>
      <c r="U46" s="58"/>
    </row>
    <row r="47" spans="1:25" hidden="1">
      <c r="A47" s="107" t="s">
        <v>26</v>
      </c>
      <c r="B47" s="94" t="s">
        <v>13</v>
      </c>
      <c r="C47" s="75">
        <v>0</v>
      </c>
      <c r="D47" s="76">
        <v>0</v>
      </c>
      <c r="E47" s="75">
        <v>10</v>
      </c>
      <c r="F47" s="41">
        <f t="shared" si="4"/>
        <v>32.560000000000031</v>
      </c>
      <c r="G47" s="42">
        <f t="shared" si="5"/>
        <v>0</v>
      </c>
      <c r="I47" s="56"/>
      <c r="J47" s="57"/>
      <c r="K47" s="57"/>
      <c r="L47" s="57"/>
      <c r="M47" s="57"/>
      <c r="N47" s="58"/>
      <c r="P47" s="56"/>
      <c r="Q47" s="57"/>
      <c r="R47" s="57"/>
      <c r="S47" s="57"/>
      <c r="T47" s="57"/>
      <c r="U47" s="58"/>
      <c r="Y47" t="s">
        <v>0</v>
      </c>
    </row>
    <row r="48" spans="1:25" ht="16" hidden="1" thickBot="1">
      <c r="A48" s="103" t="s">
        <v>27</v>
      </c>
      <c r="B48" s="96" t="s">
        <v>13</v>
      </c>
      <c r="C48" s="89">
        <v>0</v>
      </c>
      <c r="D48" s="90">
        <v>0</v>
      </c>
      <c r="E48" s="89">
        <v>10</v>
      </c>
      <c r="F48" s="48">
        <f t="shared" si="4"/>
        <v>22.560000000000031</v>
      </c>
      <c r="G48" s="49">
        <f t="shared" si="5"/>
        <v>0</v>
      </c>
      <c r="I48" s="56"/>
      <c r="J48" s="57"/>
      <c r="K48" s="57"/>
      <c r="L48" s="57"/>
      <c r="M48" s="57"/>
      <c r="N48" s="58"/>
      <c r="P48" s="56"/>
      <c r="Q48" s="57"/>
      <c r="R48" s="57"/>
      <c r="S48" s="57"/>
      <c r="T48" s="57"/>
      <c r="U48" s="58"/>
      <c r="Y48" t="s">
        <v>0</v>
      </c>
    </row>
    <row r="49" spans="1:25" ht="16" hidden="1" thickBot="1">
      <c r="A49" s="113">
        <v>42522</v>
      </c>
      <c r="B49" s="114"/>
      <c r="C49" s="115">
        <v>104</v>
      </c>
      <c r="D49" s="116">
        <v>0</v>
      </c>
      <c r="E49" s="116">
        <v>0</v>
      </c>
      <c r="F49" s="110">
        <f t="shared" si="4"/>
        <v>126.56000000000003</v>
      </c>
      <c r="G49" s="117"/>
      <c r="I49" s="56"/>
      <c r="J49" s="57"/>
      <c r="K49" s="57"/>
      <c r="L49" s="57"/>
      <c r="M49" s="57"/>
      <c r="N49" s="58"/>
      <c r="P49" s="56"/>
      <c r="Q49" s="57"/>
      <c r="R49" s="57"/>
      <c r="S49" s="57"/>
      <c r="T49" s="57"/>
      <c r="U49" s="58"/>
      <c r="V49" t="s">
        <v>0</v>
      </c>
      <c r="Y49" t="s">
        <v>0</v>
      </c>
    </row>
    <row r="50" spans="1:25" hidden="1">
      <c r="A50" s="101" t="s">
        <v>28</v>
      </c>
      <c r="B50" s="106" t="s">
        <v>13</v>
      </c>
      <c r="C50" s="93">
        <v>0</v>
      </c>
      <c r="D50" s="119">
        <v>8</v>
      </c>
      <c r="E50" s="93">
        <v>10</v>
      </c>
      <c r="F50" s="32">
        <f t="shared" si="4"/>
        <v>124.56000000000003</v>
      </c>
      <c r="G50" s="33">
        <f t="shared" si="5"/>
        <v>0.8</v>
      </c>
      <c r="I50" s="56"/>
      <c r="J50" s="57"/>
      <c r="K50" s="57"/>
      <c r="L50" s="57"/>
      <c r="M50" s="57"/>
      <c r="N50" s="58"/>
      <c r="P50" s="56"/>
      <c r="Q50" s="57"/>
      <c r="R50" s="57"/>
      <c r="S50" s="57"/>
      <c r="T50" s="57"/>
      <c r="U50" s="58"/>
      <c r="V50" t="s">
        <v>30</v>
      </c>
      <c r="Y50" t="s">
        <v>0</v>
      </c>
    </row>
    <row r="51" spans="1:25" hidden="1">
      <c r="A51" s="107" t="s">
        <v>29</v>
      </c>
      <c r="B51" s="94" t="s">
        <v>13</v>
      </c>
      <c r="C51" s="75">
        <v>0</v>
      </c>
      <c r="D51" s="76">
        <v>0</v>
      </c>
      <c r="E51" s="75">
        <v>10</v>
      </c>
      <c r="F51" s="41">
        <f t="shared" si="4"/>
        <v>114.56000000000003</v>
      </c>
      <c r="G51" s="42">
        <f t="shared" si="5"/>
        <v>0</v>
      </c>
      <c r="I51" s="56"/>
      <c r="J51" s="57"/>
      <c r="K51" s="57"/>
      <c r="L51" s="57"/>
      <c r="M51" s="57"/>
      <c r="N51" s="58"/>
      <c r="P51" s="56"/>
      <c r="Q51" s="57"/>
      <c r="R51" s="57"/>
      <c r="S51" s="57"/>
      <c r="T51" s="57"/>
      <c r="U51" s="58"/>
    </row>
    <row r="52" spans="1:25" hidden="1">
      <c r="A52" s="107" t="s">
        <v>31</v>
      </c>
      <c r="B52" s="94" t="s">
        <v>13</v>
      </c>
      <c r="C52" s="75">
        <v>0</v>
      </c>
      <c r="D52" s="76">
        <v>0</v>
      </c>
      <c r="E52" s="75">
        <v>10</v>
      </c>
      <c r="F52" s="41">
        <f t="shared" si="4"/>
        <v>104.56000000000003</v>
      </c>
      <c r="G52" s="42">
        <f t="shared" si="5"/>
        <v>0</v>
      </c>
      <c r="I52" s="56"/>
      <c r="J52" s="57"/>
      <c r="K52" s="57"/>
      <c r="L52" s="57"/>
      <c r="M52" s="57"/>
      <c r="N52" s="58"/>
      <c r="P52" s="56"/>
      <c r="Q52" s="57"/>
      <c r="R52" s="57"/>
      <c r="S52" s="57"/>
      <c r="T52" s="57"/>
      <c r="U52" s="58"/>
    </row>
    <row r="53" spans="1:25" hidden="1">
      <c r="A53" s="107" t="s">
        <v>32</v>
      </c>
      <c r="B53" s="94" t="s">
        <v>13</v>
      </c>
      <c r="C53" s="75">
        <v>0</v>
      </c>
      <c r="D53" s="76">
        <v>0</v>
      </c>
      <c r="E53" s="75">
        <v>10</v>
      </c>
      <c r="F53" s="41">
        <f t="shared" si="4"/>
        <v>94.560000000000031</v>
      </c>
      <c r="G53" s="42">
        <f t="shared" si="5"/>
        <v>0</v>
      </c>
      <c r="I53" s="56"/>
      <c r="J53" s="57"/>
      <c r="K53" s="57"/>
      <c r="L53" s="57"/>
      <c r="M53" s="57"/>
      <c r="N53" s="58"/>
      <c r="P53" s="56"/>
      <c r="Q53" s="57"/>
      <c r="R53" s="57"/>
      <c r="S53" s="57"/>
      <c r="T53" s="57"/>
      <c r="U53" s="58"/>
    </row>
    <row r="54" spans="1:25" hidden="1">
      <c r="A54" s="107" t="s">
        <v>33</v>
      </c>
      <c r="B54" s="94" t="s">
        <v>13</v>
      </c>
      <c r="C54" s="75">
        <v>0</v>
      </c>
      <c r="D54" s="76">
        <v>0</v>
      </c>
      <c r="E54" s="75">
        <v>10</v>
      </c>
      <c r="F54" s="41">
        <f t="shared" si="4"/>
        <v>84.560000000000031</v>
      </c>
      <c r="G54" s="42">
        <f t="shared" si="5"/>
        <v>0</v>
      </c>
      <c r="I54" s="56"/>
      <c r="J54" s="57"/>
      <c r="K54" s="57"/>
      <c r="L54" s="57"/>
      <c r="M54" s="57"/>
      <c r="N54" s="58"/>
      <c r="P54" s="56"/>
      <c r="Q54" s="57"/>
      <c r="R54" s="57"/>
      <c r="S54" s="57"/>
      <c r="T54" s="57"/>
      <c r="U54" s="58"/>
    </row>
    <row r="55" spans="1:25" hidden="1">
      <c r="A55" s="107" t="s">
        <v>34</v>
      </c>
      <c r="B55" s="94" t="s">
        <v>13</v>
      </c>
      <c r="C55" s="75">
        <v>0</v>
      </c>
      <c r="D55" s="76">
        <v>0</v>
      </c>
      <c r="E55" s="75">
        <v>10</v>
      </c>
      <c r="F55" s="41">
        <f t="shared" si="4"/>
        <v>74.560000000000031</v>
      </c>
      <c r="G55" s="42">
        <f t="shared" si="5"/>
        <v>0</v>
      </c>
      <c r="I55" s="56"/>
      <c r="J55" s="57"/>
      <c r="K55" s="57"/>
      <c r="L55" s="57"/>
      <c r="M55" s="57"/>
      <c r="N55" s="58"/>
      <c r="P55" s="56"/>
      <c r="Q55" s="57"/>
      <c r="R55" s="57"/>
      <c r="S55" s="57"/>
      <c r="T55" s="57"/>
      <c r="U55" s="58"/>
    </row>
    <row r="56" spans="1:25" hidden="1">
      <c r="A56" s="107" t="s">
        <v>35</v>
      </c>
      <c r="B56" s="94" t="s">
        <v>13</v>
      </c>
      <c r="C56" s="75">
        <v>0</v>
      </c>
      <c r="D56" s="76">
        <v>0</v>
      </c>
      <c r="E56" s="75">
        <v>10</v>
      </c>
      <c r="F56" s="41">
        <f t="shared" si="4"/>
        <v>64.560000000000031</v>
      </c>
      <c r="G56" s="42">
        <f t="shared" si="5"/>
        <v>0</v>
      </c>
      <c r="I56" s="56"/>
      <c r="J56" s="57"/>
      <c r="K56" s="57"/>
      <c r="L56" s="57"/>
      <c r="M56" s="57"/>
      <c r="N56" s="58"/>
      <c r="P56" s="56"/>
      <c r="Q56" s="57"/>
      <c r="R56" s="57"/>
      <c r="S56" s="57"/>
      <c r="T56" s="57"/>
      <c r="U56" s="58"/>
    </row>
    <row r="57" spans="1:25" hidden="1">
      <c r="A57" s="107" t="s">
        <v>36</v>
      </c>
      <c r="B57" s="94" t="s">
        <v>13</v>
      </c>
      <c r="C57" s="75">
        <v>0</v>
      </c>
      <c r="D57" s="88">
        <v>5</v>
      </c>
      <c r="E57" s="75">
        <v>10</v>
      </c>
      <c r="F57" s="41">
        <f t="shared" si="4"/>
        <v>59.560000000000031</v>
      </c>
      <c r="G57" s="42">
        <f t="shared" si="5"/>
        <v>0.5</v>
      </c>
      <c r="I57" s="56"/>
      <c r="J57" s="57"/>
      <c r="K57" s="57"/>
      <c r="L57" s="57"/>
      <c r="M57" s="57"/>
      <c r="N57" s="58"/>
      <c r="P57" s="56"/>
      <c r="Q57" s="57"/>
      <c r="R57" s="57"/>
      <c r="S57" s="57"/>
      <c r="T57" s="57"/>
      <c r="U57" s="58"/>
      <c r="V57" t="s">
        <v>37</v>
      </c>
    </row>
    <row r="58" spans="1:25" hidden="1">
      <c r="A58" s="107">
        <v>42580</v>
      </c>
      <c r="B58" s="94" t="s">
        <v>14</v>
      </c>
      <c r="C58" s="75">
        <v>0</v>
      </c>
      <c r="D58" s="76">
        <v>0</v>
      </c>
      <c r="E58" s="75">
        <v>8</v>
      </c>
      <c r="F58" s="41">
        <f t="shared" si="4"/>
        <v>51.560000000000031</v>
      </c>
      <c r="G58" s="42">
        <f t="shared" si="5"/>
        <v>0</v>
      </c>
      <c r="I58" s="56"/>
      <c r="J58" s="57"/>
      <c r="K58" s="57"/>
      <c r="L58" s="57"/>
      <c r="M58" s="57"/>
      <c r="N58" s="58"/>
      <c r="P58" s="56"/>
      <c r="Q58" s="57"/>
      <c r="R58" s="57"/>
      <c r="S58" s="57"/>
      <c r="T58" s="57"/>
      <c r="U58" s="58"/>
    </row>
    <row r="59" spans="1:25" hidden="1">
      <c r="A59" s="107">
        <v>42581</v>
      </c>
      <c r="B59" s="94" t="s">
        <v>13</v>
      </c>
      <c r="C59" s="75">
        <v>0</v>
      </c>
      <c r="D59" s="76">
        <v>0</v>
      </c>
      <c r="E59" s="75">
        <v>5</v>
      </c>
      <c r="F59" s="41">
        <f t="shared" si="4"/>
        <v>46.560000000000031</v>
      </c>
      <c r="G59" s="42">
        <f t="shared" si="5"/>
        <v>0</v>
      </c>
      <c r="I59" s="56"/>
      <c r="J59" s="57"/>
      <c r="K59" s="57"/>
      <c r="L59" s="57"/>
      <c r="M59" s="57"/>
      <c r="N59" s="58"/>
      <c r="P59" s="56"/>
      <c r="Q59" s="57"/>
      <c r="R59" s="57"/>
      <c r="S59" s="57"/>
      <c r="T59" s="57"/>
      <c r="U59" s="58"/>
    </row>
    <row r="60" spans="1:25" hidden="1">
      <c r="A60" s="107" t="s">
        <v>38</v>
      </c>
      <c r="B60" s="94" t="s">
        <v>13</v>
      </c>
      <c r="C60" s="75">
        <v>0</v>
      </c>
      <c r="D60" s="88">
        <v>8</v>
      </c>
      <c r="E60" s="75">
        <v>10</v>
      </c>
      <c r="F60" s="41">
        <f t="shared" si="4"/>
        <v>44.560000000000031</v>
      </c>
      <c r="G60" s="42">
        <f t="shared" si="5"/>
        <v>0.8</v>
      </c>
      <c r="I60" s="56"/>
      <c r="J60" s="57"/>
      <c r="K60" s="57"/>
      <c r="L60" s="57"/>
      <c r="M60" s="57"/>
      <c r="N60" s="58"/>
      <c r="P60" s="56"/>
      <c r="Q60" s="57"/>
      <c r="R60" s="57"/>
      <c r="S60" s="57"/>
      <c r="T60" s="57"/>
      <c r="U60" s="58"/>
      <c r="V60" t="s">
        <v>30</v>
      </c>
    </row>
    <row r="61" spans="1:25" hidden="1">
      <c r="A61" s="107" t="s">
        <v>39</v>
      </c>
      <c r="B61" s="94" t="s">
        <v>13</v>
      </c>
      <c r="C61" s="75">
        <v>0</v>
      </c>
      <c r="D61" s="88">
        <v>8</v>
      </c>
      <c r="E61" s="75">
        <v>10</v>
      </c>
      <c r="F61" s="41">
        <f t="shared" si="4"/>
        <v>42.560000000000031</v>
      </c>
      <c r="G61" s="42">
        <f t="shared" si="5"/>
        <v>0.8</v>
      </c>
      <c r="I61" s="56"/>
      <c r="J61" s="57"/>
      <c r="K61" s="57"/>
      <c r="L61" s="57"/>
      <c r="M61" s="57"/>
      <c r="N61" s="58"/>
      <c r="P61" s="56"/>
      <c r="Q61" s="57"/>
      <c r="R61" s="57"/>
      <c r="S61" s="57"/>
      <c r="T61" s="57"/>
      <c r="U61" s="58"/>
      <c r="V61" t="s">
        <v>30</v>
      </c>
    </row>
    <row r="62" spans="1:25" hidden="1">
      <c r="A62" s="107" t="s">
        <v>75</v>
      </c>
      <c r="B62" s="94" t="s">
        <v>13</v>
      </c>
      <c r="C62" s="75">
        <v>0</v>
      </c>
      <c r="D62" s="76">
        <v>0</v>
      </c>
      <c r="E62" s="75">
        <v>10</v>
      </c>
      <c r="F62" s="41">
        <f t="shared" si="4"/>
        <v>32.560000000000031</v>
      </c>
      <c r="G62" s="42">
        <f t="shared" si="5"/>
        <v>0</v>
      </c>
      <c r="I62" s="56"/>
      <c r="J62" s="57"/>
      <c r="K62" s="57"/>
      <c r="L62" s="57"/>
      <c r="M62" s="57"/>
      <c r="N62" s="58"/>
      <c r="P62" s="56"/>
      <c r="Q62" s="57"/>
      <c r="R62" s="57"/>
      <c r="S62" s="57"/>
      <c r="T62" s="57"/>
      <c r="U62" s="58"/>
    </row>
    <row r="63" spans="1:25" hidden="1">
      <c r="A63" s="107" t="s">
        <v>40</v>
      </c>
      <c r="B63" s="94" t="s">
        <v>13</v>
      </c>
      <c r="C63" s="75">
        <v>0</v>
      </c>
      <c r="D63" s="76">
        <v>0</v>
      </c>
      <c r="E63" s="75">
        <v>10</v>
      </c>
      <c r="F63" s="41">
        <f t="shared" si="4"/>
        <v>22.560000000000031</v>
      </c>
      <c r="G63" s="42">
        <f t="shared" si="5"/>
        <v>0</v>
      </c>
      <c r="I63" s="56"/>
      <c r="J63" s="57"/>
      <c r="K63" s="57"/>
      <c r="L63" s="57"/>
      <c r="M63" s="57"/>
      <c r="N63" s="58"/>
      <c r="P63" s="56"/>
      <c r="Q63" s="57"/>
      <c r="R63" s="57"/>
      <c r="S63" s="57"/>
      <c r="T63" s="57"/>
      <c r="U63" s="58"/>
    </row>
    <row r="64" spans="1:25" hidden="1">
      <c r="A64" s="107" t="s">
        <v>41</v>
      </c>
      <c r="B64" s="94" t="s">
        <v>13</v>
      </c>
      <c r="C64" s="75">
        <v>0</v>
      </c>
      <c r="D64" s="76">
        <v>0</v>
      </c>
      <c r="E64" s="75">
        <v>10</v>
      </c>
      <c r="F64" s="41">
        <f t="shared" si="4"/>
        <v>12.560000000000031</v>
      </c>
      <c r="G64" s="42">
        <f t="shared" si="5"/>
        <v>0</v>
      </c>
      <c r="I64" s="56"/>
      <c r="J64" s="57"/>
      <c r="K64" s="57"/>
      <c r="L64" s="57"/>
      <c r="M64" s="57"/>
      <c r="N64" s="58"/>
      <c r="P64" s="56"/>
      <c r="Q64" s="57"/>
      <c r="R64" s="57"/>
      <c r="S64" s="57"/>
      <c r="T64" s="57"/>
      <c r="U64" s="58"/>
    </row>
    <row r="65" spans="1:22" hidden="1">
      <c r="A65" s="107" t="s">
        <v>42</v>
      </c>
      <c r="B65" s="94" t="s">
        <v>13</v>
      </c>
      <c r="C65" s="75">
        <v>0</v>
      </c>
      <c r="D65" s="88">
        <v>13</v>
      </c>
      <c r="E65" s="75">
        <v>10</v>
      </c>
      <c r="F65" s="41">
        <f t="shared" si="4"/>
        <v>15.560000000000031</v>
      </c>
      <c r="G65" s="42">
        <f t="shared" si="5"/>
        <v>1.3</v>
      </c>
      <c r="I65" s="56"/>
      <c r="J65" s="57"/>
      <c r="K65" s="57"/>
      <c r="L65" s="57"/>
      <c r="M65" s="57"/>
      <c r="N65" s="58"/>
      <c r="P65" s="56"/>
      <c r="Q65" s="57"/>
      <c r="R65" s="57"/>
      <c r="S65" s="57"/>
      <c r="T65" s="57"/>
      <c r="U65" s="58"/>
      <c r="V65" t="s">
        <v>30</v>
      </c>
    </row>
    <row r="66" spans="1:22" ht="16" hidden="1" customHeight="1" thickBot="1">
      <c r="A66" s="103" t="s">
        <v>43</v>
      </c>
      <c r="B66" s="96" t="s">
        <v>13</v>
      </c>
      <c r="C66" s="89">
        <v>0</v>
      </c>
      <c r="D66" s="90">
        <v>0</v>
      </c>
      <c r="E66" s="89">
        <v>10</v>
      </c>
      <c r="F66" s="48">
        <f t="shared" si="4"/>
        <v>5.5600000000000307</v>
      </c>
      <c r="G66" s="49">
        <f t="shared" si="5"/>
        <v>0</v>
      </c>
      <c r="I66" s="56"/>
      <c r="J66" s="57"/>
      <c r="K66" s="57"/>
      <c r="L66" s="57"/>
      <c r="M66" s="57"/>
      <c r="N66" s="58"/>
      <c r="P66" s="56"/>
      <c r="Q66" s="57"/>
      <c r="R66" s="57"/>
      <c r="S66" s="57"/>
      <c r="T66" s="57"/>
      <c r="U66" s="58"/>
    </row>
    <row r="67" spans="1:22" ht="16" hidden="1" thickBot="1">
      <c r="A67" s="113">
        <v>42635</v>
      </c>
      <c r="B67" s="114"/>
      <c r="C67" s="115">
        <v>120</v>
      </c>
      <c r="D67" s="116">
        <v>0</v>
      </c>
      <c r="E67" s="116">
        <v>0</v>
      </c>
      <c r="F67" s="110">
        <f t="shared" si="4"/>
        <v>125.56000000000003</v>
      </c>
      <c r="G67" s="117"/>
      <c r="I67" s="56"/>
      <c r="J67" s="57"/>
      <c r="K67" s="57"/>
      <c r="L67" s="57"/>
      <c r="M67" s="57"/>
      <c r="N67" s="58"/>
      <c r="P67" s="56"/>
      <c r="Q67" s="57"/>
      <c r="R67" s="57"/>
      <c r="S67" s="57"/>
      <c r="T67" s="57"/>
      <c r="U67" s="58"/>
    </row>
    <row r="68" spans="1:22" ht="16" hidden="1" customHeight="1">
      <c r="A68" s="101" t="s">
        <v>44</v>
      </c>
      <c r="B68" s="106" t="s">
        <v>13</v>
      </c>
      <c r="C68" s="93">
        <v>0</v>
      </c>
      <c r="D68" s="102">
        <v>0</v>
      </c>
      <c r="E68" s="93">
        <v>10</v>
      </c>
      <c r="F68" s="32">
        <f t="shared" si="4"/>
        <v>115.56000000000003</v>
      </c>
      <c r="G68" s="33">
        <f t="shared" si="5"/>
        <v>0</v>
      </c>
      <c r="I68" s="56"/>
      <c r="J68" s="57"/>
      <c r="K68" s="57"/>
      <c r="L68" s="57"/>
      <c r="M68" s="57"/>
      <c r="N68" s="58"/>
      <c r="P68" s="56"/>
      <c r="Q68" s="57"/>
      <c r="R68" s="57"/>
      <c r="S68" s="57"/>
      <c r="T68" s="57"/>
      <c r="U68" s="58"/>
    </row>
    <row r="69" spans="1:22" hidden="1">
      <c r="A69" s="107" t="s">
        <v>45</v>
      </c>
      <c r="B69" s="94" t="s">
        <v>13</v>
      </c>
      <c r="C69" s="75">
        <v>0</v>
      </c>
      <c r="D69" s="88">
        <v>8</v>
      </c>
      <c r="E69" s="75">
        <v>10</v>
      </c>
      <c r="F69" s="41">
        <f t="shared" si="4"/>
        <v>113.56000000000003</v>
      </c>
      <c r="G69" s="42">
        <f t="shared" si="5"/>
        <v>0.8</v>
      </c>
      <c r="I69" s="56"/>
      <c r="J69" s="57"/>
      <c r="K69" s="57"/>
      <c r="L69" s="57"/>
      <c r="M69" s="57"/>
      <c r="N69" s="58"/>
      <c r="P69" s="56"/>
      <c r="Q69" s="57"/>
      <c r="R69" s="57"/>
      <c r="S69" s="57"/>
      <c r="T69" s="57"/>
      <c r="U69" s="58"/>
      <c r="V69" s="88" t="s">
        <v>30</v>
      </c>
    </row>
    <row r="70" spans="1:22" hidden="1">
      <c r="A70" s="107" t="s">
        <v>46</v>
      </c>
      <c r="B70" s="94" t="s">
        <v>13</v>
      </c>
      <c r="C70" s="75">
        <v>0</v>
      </c>
      <c r="D70" s="76">
        <v>0</v>
      </c>
      <c r="E70" s="75">
        <v>10</v>
      </c>
      <c r="F70" s="41">
        <f t="shared" ref="F70:F101" si="6">F69+C70+D70-E70</f>
        <v>103.56000000000003</v>
      </c>
      <c r="G70" s="42">
        <f t="shared" si="5"/>
        <v>0</v>
      </c>
      <c r="I70" s="56"/>
      <c r="J70" s="57"/>
      <c r="K70" s="57"/>
      <c r="L70" s="57"/>
      <c r="M70" s="57"/>
      <c r="N70" s="58"/>
      <c r="P70" s="56"/>
      <c r="Q70" s="57"/>
      <c r="R70" s="57"/>
      <c r="S70" s="57"/>
      <c r="T70" s="57"/>
      <c r="U70" s="58"/>
    </row>
    <row r="71" spans="1:22" hidden="1">
      <c r="A71" s="107" t="s">
        <v>47</v>
      </c>
      <c r="B71" s="94" t="s">
        <v>13</v>
      </c>
      <c r="C71" s="75">
        <v>0</v>
      </c>
      <c r="D71" s="76">
        <v>0</v>
      </c>
      <c r="E71" s="75">
        <v>10</v>
      </c>
      <c r="F71" s="41">
        <f t="shared" si="6"/>
        <v>93.560000000000031</v>
      </c>
      <c r="G71" s="42">
        <f t="shared" si="5"/>
        <v>0</v>
      </c>
      <c r="I71" s="56"/>
      <c r="J71" s="57"/>
      <c r="K71" s="57"/>
      <c r="L71" s="57"/>
      <c r="M71" s="57"/>
      <c r="N71" s="58"/>
      <c r="P71" s="56"/>
      <c r="Q71" s="57"/>
      <c r="R71" s="57"/>
      <c r="S71" s="57"/>
      <c r="T71" s="57"/>
      <c r="U71" s="58"/>
    </row>
    <row r="72" spans="1:22" hidden="1">
      <c r="A72" s="107" t="s">
        <v>48</v>
      </c>
      <c r="B72" s="94" t="s">
        <v>13</v>
      </c>
      <c r="C72" s="75">
        <v>0</v>
      </c>
      <c r="D72" s="88">
        <v>8</v>
      </c>
      <c r="E72" s="75">
        <v>10</v>
      </c>
      <c r="F72" s="41">
        <f t="shared" si="6"/>
        <v>91.560000000000031</v>
      </c>
      <c r="G72" s="42">
        <f t="shared" si="5"/>
        <v>0.8</v>
      </c>
      <c r="I72" s="56"/>
      <c r="J72" s="57"/>
      <c r="K72" s="57"/>
      <c r="L72" s="57"/>
      <c r="M72" s="57"/>
      <c r="N72" s="58"/>
      <c r="P72" s="56"/>
      <c r="Q72" s="57"/>
      <c r="R72" s="57"/>
      <c r="S72" s="57"/>
      <c r="T72" s="57"/>
      <c r="U72" s="58"/>
      <c r="V72" s="88" t="s">
        <v>30</v>
      </c>
    </row>
    <row r="73" spans="1:22" hidden="1">
      <c r="A73" s="107" t="s">
        <v>49</v>
      </c>
      <c r="B73" s="94" t="s">
        <v>13</v>
      </c>
      <c r="C73" s="75">
        <v>0</v>
      </c>
      <c r="D73" s="76">
        <v>0</v>
      </c>
      <c r="E73" s="75">
        <v>10</v>
      </c>
      <c r="F73" s="41">
        <f t="shared" si="6"/>
        <v>81.560000000000031</v>
      </c>
      <c r="G73" s="42">
        <f t="shared" si="5"/>
        <v>0</v>
      </c>
      <c r="I73" s="56"/>
      <c r="J73" s="57"/>
      <c r="K73" s="57"/>
      <c r="L73" s="57"/>
      <c r="M73" s="57"/>
      <c r="N73" s="58"/>
      <c r="P73" s="56"/>
      <c r="Q73" s="57"/>
      <c r="R73" s="57"/>
      <c r="S73" s="57"/>
      <c r="T73" s="57"/>
      <c r="U73" s="58"/>
    </row>
    <row r="74" spans="1:22" hidden="1">
      <c r="A74" s="107" t="s">
        <v>50</v>
      </c>
      <c r="B74" s="94" t="s">
        <v>13</v>
      </c>
      <c r="C74" s="75">
        <v>0</v>
      </c>
      <c r="D74" s="76">
        <v>0</v>
      </c>
      <c r="E74" s="75">
        <v>10</v>
      </c>
      <c r="F74" s="41">
        <f t="shared" si="6"/>
        <v>71.560000000000031</v>
      </c>
      <c r="G74" s="42">
        <f t="shared" si="5"/>
        <v>0</v>
      </c>
      <c r="I74" s="56"/>
      <c r="J74" s="57"/>
      <c r="K74" s="57"/>
      <c r="L74" s="57"/>
      <c r="M74" s="57"/>
      <c r="N74" s="58"/>
      <c r="P74" s="56"/>
      <c r="Q74" s="57"/>
      <c r="R74" s="57"/>
      <c r="S74" s="57"/>
      <c r="T74" s="57"/>
      <c r="U74" s="58"/>
    </row>
    <row r="75" spans="1:22" hidden="1">
      <c r="A75" s="107" t="s">
        <v>51</v>
      </c>
      <c r="B75" s="94" t="s">
        <v>13</v>
      </c>
      <c r="C75" s="75">
        <v>0</v>
      </c>
      <c r="D75" s="76">
        <v>0</v>
      </c>
      <c r="E75" s="75">
        <v>10</v>
      </c>
      <c r="F75" s="41">
        <f t="shared" si="6"/>
        <v>61.560000000000031</v>
      </c>
      <c r="G75" s="42">
        <f t="shared" si="5"/>
        <v>0</v>
      </c>
      <c r="I75" s="56"/>
      <c r="J75" s="57"/>
      <c r="K75" s="57"/>
      <c r="L75" s="57"/>
      <c r="M75" s="57"/>
      <c r="N75" s="58"/>
      <c r="P75" s="56"/>
      <c r="Q75" s="57"/>
      <c r="R75" s="57"/>
      <c r="S75" s="57"/>
      <c r="T75" s="57"/>
      <c r="U75" s="58"/>
    </row>
    <row r="76" spans="1:22" hidden="1">
      <c r="A76" s="107">
        <v>42693</v>
      </c>
      <c r="B76" s="94" t="s">
        <v>13</v>
      </c>
      <c r="C76" s="75">
        <v>0</v>
      </c>
      <c r="D76" s="76">
        <v>0</v>
      </c>
      <c r="E76" s="75">
        <v>5</v>
      </c>
      <c r="F76" s="41">
        <f t="shared" si="6"/>
        <v>56.560000000000031</v>
      </c>
      <c r="G76" s="42">
        <f t="shared" si="5"/>
        <v>0</v>
      </c>
      <c r="I76" s="56"/>
      <c r="J76" s="57"/>
      <c r="K76" s="57"/>
      <c r="L76" s="57"/>
      <c r="M76" s="57"/>
      <c r="N76" s="58"/>
      <c r="P76" s="56"/>
      <c r="Q76" s="57"/>
      <c r="R76" s="57"/>
      <c r="S76" s="57"/>
      <c r="T76" s="57"/>
      <c r="U76" s="58"/>
    </row>
    <row r="77" spans="1:22" hidden="1">
      <c r="A77" s="107" t="s">
        <v>52</v>
      </c>
      <c r="B77" s="94" t="s">
        <v>13</v>
      </c>
      <c r="C77" s="75">
        <v>0</v>
      </c>
      <c r="D77" s="76">
        <v>0</v>
      </c>
      <c r="E77" s="75">
        <v>10</v>
      </c>
      <c r="F77" s="41">
        <f t="shared" si="6"/>
        <v>46.560000000000031</v>
      </c>
      <c r="G77" s="42">
        <f t="shared" si="5"/>
        <v>0</v>
      </c>
      <c r="I77" s="56"/>
      <c r="J77" s="57"/>
      <c r="K77" s="57"/>
      <c r="L77" s="57"/>
      <c r="M77" s="57"/>
      <c r="N77" s="58"/>
      <c r="P77" s="56"/>
      <c r="Q77" s="57"/>
      <c r="R77" s="57"/>
      <c r="S77" s="57"/>
      <c r="T77" s="57"/>
      <c r="U77" s="58"/>
    </row>
    <row r="78" spans="1:22" hidden="1">
      <c r="A78" s="107" t="s">
        <v>53</v>
      </c>
      <c r="B78" s="94" t="s">
        <v>13</v>
      </c>
      <c r="C78" s="75">
        <v>0</v>
      </c>
      <c r="D78" s="76">
        <v>0</v>
      </c>
      <c r="E78" s="75">
        <v>10</v>
      </c>
      <c r="F78" s="41">
        <f t="shared" si="6"/>
        <v>36.560000000000031</v>
      </c>
      <c r="G78" s="42">
        <f t="shared" si="5"/>
        <v>0</v>
      </c>
      <c r="I78" s="56"/>
      <c r="J78" s="57"/>
      <c r="K78" s="57"/>
      <c r="L78" s="57"/>
      <c r="M78" s="57"/>
      <c r="N78" s="58"/>
      <c r="P78" s="56"/>
      <c r="Q78" s="57"/>
      <c r="R78" s="57"/>
      <c r="S78" s="57"/>
      <c r="T78" s="57"/>
      <c r="U78" s="58"/>
    </row>
    <row r="79" spans="1:22" hidden="1">
      <c r="A79" s="107" t="s">
        <v>54</v>
      </c>
      <c r="B79" s="94" t="s">
        <v>13</v>
      </c>
      <c r="C79" s="75">
        <v>0</v>
      </c>
      <c r="D79" s="76">
        <v>0</v>
      </c>
      <c r="E79" s="75">
        <v>10</v>
      </c>
      <c r="F79" s="41">
        <f t="shared" si="6"/>
        <v>26.560000000000031</v>
      </c>
      <c r="G79" s="42">
        <f t="shared" si="5"/>
        <v>0</v>
      </c>
      <c r="I79" s="56"/>
      <c r="J79" s="57"/>
      <c r="K79" s="57"/>
      <c r="L79" s="57"/>
      <c r="M79" s="57"/>
      <c r="N79" s="58"/>
      <c r="P79" s="56"/>
      <c r="Q79" s="57"/>
      <c r="R79" s="57"/>
      <c r="S79" s="57"/>
      <c r="T79" s="57"/>
      <c r="U79" s="58"/>
    </row>
    <row r="80" spans="1:22" hidden="1">
      <c r="A80" s="107" t="s">
        <v>55</v>
      </c>
      <c r="B80" s="94" t="s">
        <v>13</v>
      </c>
      <c r="C80" s="75">
        <v>0</v>
      </c>
      <c r="D80" s="76">
        <v>0</v>
      </c>
      <c r="E80" s="75">
        <v>10</v>
      </c>
      <c r="F80" s="41">
        <f t="shared" si="6"/>
        <v>16.560000000000031</v>
      </c>
      <c r="G80" s="42">
        <f t="shared" si="5"/>
        <v>0</v>
      </c>
      <c r="I80" s="56"/>
      <c r="J80" s="57"/>
      <c r="K80" s="57"/>
      <c r="L80" s="57"/>
      <c r="M80" s="57"/>
      <c r="N80" s="58"/>
      <c r="P80" s="56"/>
      <c r="Q80" s="57"/>
      <c r="R80" s="57"/>
      <c r="S80" s="57"/>
      <c r="T80" s="57"/>
      <c r="U80" s="58"/>
    </row>
    <row r="81" spans="1:25" ht="16" hidden="1" thickBot="1">
      <c r="A81" s="107" t="s">
        <v>56</v>
      </c>
      <c r="B81" s="94" t="s">
        <v>13</v>
      </c>
      <c r="C81" s="75">
        <v>0</v>
      </c>
      <c r="D81" s="76">
        <v>0</v>
      </c>
      <c r="E81" s="75">
        <v>10</v>
      </c>
      <c r="F81" s="41">
        <f t="shared" si="6"/>
        <v>6.5600000000000307</v>
      </c>
      <c r="G81" s="42">
        <f t="shared" si="5"/>
        <v>0</v>
      </c>
      <c r="H81" s="108"/>
      <c r="I81" s="85">
        <f t="shared" ref="I81:N81" si="7">SUM(I5:I42)</f>
        <v>0</v>
      </c>
      <c r="J81" s="86">
        <f t="shared" si="7"/>
        <v>0</v>
      </c>
      <c r="K81" s="86">
        <f t="shared" si="7"/>
        <v>0</v>
      </c>
      <c r="L81" s="86">
        <f t="shared" si="7"/>
        <v>0</v>
      </c>
      <c r="M81" s="86">
        <f t="shared" si="7"/>
        <v>1</v>
      </c>
      <c r="N81" s="87">
        <f t="shared" si="7"/>
        <v>0</v>
      </c>
      <c r="O81" s="84"/>
      <c r="P81" s="85">
        <f>SUM(P5:P42)</f>
        <v>0</v>
      </c>
      <c r="Q81" s="86">
        <f t="shared" ref="Q81:U81" si="8">SUM(Q5:Q42)</f>
        <v>0</v>
      </c>
      <c r="R81" s="86">
        <f t="shared" si="8"/>
        <v>0</v>
      </c>
      <c r="S81" s="86">
        <f t="shared" si="8"/>
        <v>0</v>
      </c>
      <c r="T81" s="86">
        <f t="shared" si="8"/>
        <v>0</v>
      </c>
      <c r="U81" s="87">
        <f t="shared" si="8"/>
        <v>1</v>
      </c>
      <c r="Y81" t="s">
        <v>0</v>
      </c>
    </row>
    <row r="82" spans="1:25" ht="16" hidden="1" thickBot="1">
      <c r="A82" s="103" t="s">
        <v>57</v>
      </c>
      <c r="B82" s="96" t="s">
        <v>13</v>
      </c>
      <c r="C82" s="89">
        <v>0</v>
      </c>
      <c r="D82" s="90">
        <v>0</v>
      </c>
      <c r="E82" s="89">
        <v>6</v>
      </c>
      <c r="F82" s="48">
        <f t="shared" si="6"/>
        <v>0.5600000000000307</v>
      </c>
      <c r="G82" s="49">
        <f t="shared" si="5"/>
        <v>0</v>
      </c>
      <c r="H82" s="108"/>
      <c r="I82" s="109"/>
      <c r="J82" s="109"/>
      <c r="K82" s="109"/>
      <c r="L82" s="109"/>
      <c r="M82" s="109"/>
      <c r="N82" s="109"/>
      <c r="O82" s="84"/>
      <c r="P82" s="109"/>
      <c r="Q82" s="109"/>
      <c r="R82" s="109"/>
      <c r="S82" s="109"/>
      <c r="T82" s="109"/>
      <c r="U82" s="109"/>
    </row>
    <row r="83" spans="1:25" ht="16" hidden="1" thickBot="1">
      <c r="A83" s="113">
        <v>42747</v>
      </c>
      <c r="B83" s="114"/>
      <c r="C83" s="115">
        <v>120</v>
      </c>
      <c r="D83" s="116">
        <v>0</v>
      </c>
      <c r="E83" s="116">
        <v>0</v>
      </c>
      <c r="F83" s="110">
        <f t="shared" si="6"/>
        <v>120.56000000000003</v>
      </c>
      <c r="G83" s="117"/>
      <c r="H83" s="108"/>
      <c r="I83" s="109"/>
      <c r="J83" s="109"/>
      <c r="K83" s="109"/>
      <c r="L83" s="109"/>
      <c r="M83" s="109"/>
      <c r="N83" s="109"/>
      <c r="O83" s="84"/>
      <c r="P83" s="109"/>
      <c r="Q83" s="109"/>
      <c r="R83" s="109"/>
      <c r="S83" s="109"/>
      <c r="T83" s="109"/>
      <c r="U83" s="109"/>
      <c r="V83" t="s">
        <v>0</v>
      </c>
    </row>
    <row r="84" spans="1:25" hidden="1">
      <c r="A84" s="101" t="s">
        <v>58</v>
      </c>
      <c r="B84" s="106" t="s">
        <v>13</v>
      </c>
      <c r="C84" s="93">
        <v>0</v>
      </c>
      <c r="D84" s="102">
        <v>0</v>
      </c>
      <c r="E84" s="93">
        <v>10</v>
      </c>
      <c r="F84" s="32">
        <f t="shared" si="6"/>
        <v>110.56000000000003</v>
      </c>
      <c r="G84" s="33">
        <f t="shared" si="5"/>
        <v>0</v>
      </c>
      <c r="H84" s="108"/>
      <c r="I84" s="109"/>
      <c r="J84" s="109"/>
      <c r="K84" s="109"/>
      <c r="L84" s="109"/>
      <c r="M84" s="109"/>
      <c r="N84" s="109"/>
      <c r="O84" s="84"/>
      <c r="P84" s="109"/>
      <c r="Q84" s="109"/>
      <c r="R84" s="109"/>
      <c r="S84" s="109"/>
      <c r="T84" s="109"/>
      <c r="U84" s="109"/>
    </row>
    <row r="85" spans="1:25" hidden="1">
      <c r="A85" s="107" t="s">
        <v>59</v>
      </c>
      <c r="B85" s="94" t="s">
        <v>13</v>
      </c>
      <c r="C85" s="75">
        <v>0</v>
      </c>
      <c r="D85" s="88">
        <v>8</v>
      </c>
      <c r="E85" s="75">
        <v>10</v>
      </c>
      <c r="F85" s="41">
        <f t="shared" si="6"/>
        <v>108.56000000000003</v>
      </c>
      <c r="G85" s="42">
        <f t="shared" si="5"/>
        <v>0.8</v>
      </c>
      <c r="H85" s="108"/>
      <c r="I85" s="109"/>
      <c r="J85" s="109"/>
      <c r="K85" s="109"/>
      <c r="L85" s="109"/>
      <c r="M85" s="109"/>
      <c r="N85" s="109"/>
      <c r="O85" s="84"/>
      <c r="P85" s="109"/>
      <c r="Q85" s="109"/>
      <c r="R85" s="109"/>
      <c r="S85" s="109"/>
      <c r="T85" s="109"/>
      <c r="U85" s="109"/>
      <c r="V85" s="88" t="s">
        <v>30</v>
      </c>
    </row>
    <row r="86" spans="1:25" hidden="1">
      <c r="A86" s="107">
        <v>42763</v>
      </c>
      <c r="B86" s="94" t="s">
        <v>13</v>
      </c>
      <c r="C86" s="75">
        <v>0</v>
      </c>
      <c r="D86" s="76">
        <v>0</v>
      </c>
      <c r="E86" s="75">
        <v>8</v>
      </c>
      <c r="F86" s="41">
        <f t="shared" si="6"/>
        <v>100.56000000000003</v>
      </c>
      <c r="G86" s="42">
        <f t="shared" si="5"/>
        <v>0</v>
      </c>
      <c r="H86" s="108"/>
      <c r="I86" s="109"/>
      <c r="J86" s="109"/>
      <c r="K86" s="109"/>
      <c r="L86" s="109"/>
      <c r="M86" s="109"/>
      <c r="N86" s="109"/>
      <c r="O86" s="84"/>
      <c r="P86" s="109"/>
      <c r="Q86" s="109"/>
      <c r="R86" s="109"/>
      <c r="S86" s="109"/>
      <c r="T86" s="109"/>
      <c r="U86" s="109"/>
    </row>
    <row r="87" spans="1:25" hidden="1">
      <c r="A87" s="107" t="s">
        <v>60</v>
      </c>
      <c r="B87" s="94" t="s">
        <v>13</v>
      </c>
      <c r="C87" s="75">
        <v>0</v>
      </c>
      <c r="D87" s="76">
        <v>0</v>
      </c>
      <c r="E87" s="75">
        <v>10</v>
      </c>
      <c r="F87" s="41">
        <f t="shared" si="6"/>
        <v>90.560000000000031</v>
      </c>
      <c r="G87" s="42">
        <f t="shared" si="5"/>
        <v>0</v>
      </c>
      <c r="H87" s="108"/>
      <c r="I87" s="109"/>
      <c r="J87" s="109"/>
      <c r="K87" s="109"/>
      <c r="L87" s="109"/>
      <c r="M87" s="109"/>
      <c r="N87" s="109"/>
      <c r="O87" s="84"/>
      <c r="P87" s="109"/>
      <c r="Q87" s="109"/>
      <c r="R87" s="109"/>
      <c r="S87" s="109"/>
      <c r="T87" s="109"/>
      <c r="U87" s="109"/>
    </row>
    <row r="88" spans="1:25" hidden="1">
      <c r="A88" s="107" t="s">
        <v>61</v>
      </c>
      <c r="B88" s="94" t="s">
        <v>13</v>
      </c>
      <c r="C88" s="75">
        <v>0</v>
      </c>
      <c r="D88" s="76">
        <v>0</v>
      </c>
      <c r="E88" s="75">
        <v>10</v>
      </c>
      <c r="F88" s="41">
        <f t="shared" si="6"/>
        <v>80.560000000000031</v>
      </c>
      <c r="G88" s="42">
        <f t="shared" si="5"/>
        <v>0</v>
      </c>
      <c r="H88" s="108"/>
      <c r="I88" s="109"/>
      <c r="J88" s="109"/>
      <c r="K88" s="109"/>
      <c r="L88" s="109"/>
      <c r="M88" s="109"/>
      <c r="N88" s="109"/>
      <c r="O88" s="84"/>
      <c r="P88" s="109"/>
      <c r="Q88" s="109"/>
      <c r="R88" s="109"/>
      <c r="S88" s="109"/>
      <c r="T88" s="109"/>
      <c r="U88" s="109"/>
    </row>
    <row r="89" spans="1:25" hidden="1">
      <c r="A89" s="107" t="s">
        <v>62</v>
      </c>
      <c r="B89" s="94" t="s">
        <v>13</v>
      </c>
      <c r="C89" s="75">
        <v>0</v>
      </c>
      <c r="D89" s="88">
        <v>8</v>
      </c>
      <c r="E89" s="75">
        <v>10</v>
      </c>
      <c r="F89" s="41">
        <f t="shared" si="6"/>
        <v>78.560000000000031</v>
      </c>
      <c r="G89" s="42">
        <f t="shared" si="5"/>
        <v>0.8</v>
      </c>
      <c r="H89" s="108"/>
      <c r="I89" s="109"/>
      <c r="J89" s="109"/>
      <c r="K89" s="109"/>
      <c r="L89" s="109"/>
      <c r="M89" s="109"/>
      <c r="N89" s="109"/>
      <c r="O89" s="84"/>
      <c r="P89" s="109"/>
      <c r="Q89" s="109"/>
      <c r="R89" s="109"/>
      <c r="S89" s="109"/>
      <c r="T89" s="109"/>
      <c r="U89" s="109"/>
      <c r="V89" s="88" t="s">
        <v>30</v>
      </c>
    </row>
    <row r="90" spans="1:25" hidden="1">
      <c r="A90" s="107" t="s">
        <v>63</v>
      </c>
      <c r="B90" s="94" t="s">
        <v>13</v>
      </c>
      <c r="C90" s="75">
        <v>0</v>
      </c>
      <c r="D90" s="88">
        <v>5</v>
      </c>
      <c r="E90" s="75">
        <v>10</v>
      </c>
      <c r="F90" s="41">
        <f t="shared" si="6"/>
        <v>73.560000000000031</v>
      </c>
      <c r="G90" s="42">
        <f t="shared" si="5"/>
        <v>0.5</v>
      </c>
      <c r="H90" s="108"/>
      <c r="I90" s="109"/>
      <c r="J90" s="109"/>
      <c r="K90" s="109"/>
      <c r="L90" s="109"/>
      <c r="M90" s="109"/>
      <c r="N90" s="109"/>
      <c r="O90" s="84"/>
      <c r="P90" s="109"/>
      <c r="Q90" s="109"/>
      <c r="R90" s="109"/>
      <c r="S90" s="109"/>
      <c r="T90" s="109"/>
      <c r="U90" s="109"/>
      <c r="V90" s="88" t="s">
        <v>37</v>
      </c>
    </row>
    <row r="91" spans="1:25" hidden="1">
      <c r="A91" s="107" t="s">
        <v>64</v>
      </c>
      <c r="B91" s="94" t="s">
        <v>13</v>
      </c>
      <c r="C91" s="76">
        <v>0</v>
      </c>
      <c r="D91" s="76">
        <v>0</v>
      </c>
      <c r="E91" s="75">
        <v>10</v>
      </c>
      <c r="F91" s="41">
        <f t="shared" si="6"/>
        <v>63.560000000000031</v>
      </c>
      <c r="G91" s="42">
        <f t="shared" si="5"/>
        <v>0</v>
      </c>
      <c r="H91" s="108"/>
      <c r="I91" s="109"/>
      <c r="J91" s="109"/>
      <c r="K91" s="109"/>
      <c r="L91" s="109"/>
      <c r="M91" s="109"/>
      <c r="N91" s="109"/>
      <c r="O91" s="84"/>
      <c r="P91" s="109"/>
      <c r="Q91" s="109"/>
      <c r="R91" s="109"/>
      <c r="S91" s="109"/>
      <c r="T91" s="109"/>
      <c r="U91" s="109"/>
    </row>
    <row r="92" spans="1:25" hidden="1">
      <c r="A92" s="107" t="s">
        <v>65</v>
      </c>
      <c r="B92" s="94" t="s">
        <v>13</v>
      </c>
      <c r="C92" s="76">
        <v>0</v>
      </c>
      <c r="D92" s="88">
        <v>5</v>
      </c>
      <c r="E92" s="75">
        <v>10</v>
      </c>
      <c r="F92" s="41">
        <f t="shared" si="6"/>
        <v>58.560000000000031</v>
      </c>
      <c r="G92" s="42">
        <f t="shared" si="5"/>
        <v>0.5</v>
      </c>
      <c r="H92" s="108"/>
      <c r="I92" s="109"/>
      <c r="J92" s="109"/>
      <c r="K92" s="109"/>
      <c r="L92" s="109"/>
      <c r="M92" s="109"/>
      <c r="N92" s="109"/>
      <c r="O92" s="84"/>
      <c r="P92" s="109"/>
      <c r="Q92" s="109"/>
      <c r="R92" s="109"/>
      <c r="S92" s="109"/>
      <c r="T92" s="109"/>
      <c r="U92" s="109"/>
      <c r="V92" s="88" t="s">
        <v>37</v>
      </c>
    </row>
    <row r="93" spans="1:25" hidden="1">
      <c r="A93" s="107" t="s">
        <v>66</v>
      </c>
      <c r="B93" s="94" t="s">
        <v>13</v>
      </c>
      <c r="C93" s="76">
        <v>0</v>
      </c>
      <c r="D93" s="76">
        <v>0</v>
      </c>
      <c r="E93" s="75">
        <v>10</v>
      </c>
      <c r="F93" s="41">
        <f t="shared" si="6"/>
        <v>48.560000000000031</v>
      </c>
      <c r="G93" s="42">
        <f t="shared" si="5"/>
        <v>0</v>
      </c>
      <c r="H93" s="108"/>
      <c r="I93" s="109"/>
      <c r="J93" s="109"/>
      <c r="K93" s="109"/>
      <c r="L93" s="109"/>
      <c r="M93" s="109"/>
      <c r="N93" s="109"/>
      <c r="O93" s="84"/>
      <c r="P93" s="109"/>
      <c r="Q93" s="109"/>
      <c r="R93" s="109"/>
      <c r="S93" s="109"/>
      <c r="T93" s="109"/>
      <c r="U93" s="109"/>
    </row>
    <row r="94" spans="1:25" hidden="1">
      <c r="A94" s="107" t="s">
        <v>67</v>
      </c>
      <c r="B94" s="94" t="s">
        <v>13</v>
      </c>
      <c r="C94" s="76">
        <v>0</v>
      </c>
      <c r="D94" s="76">
        <v>0</v>
      </c>
      <c r="E94" s="75">
        <v>10</v>
      </c>
      <c r="F94" s="41">
        <f t="shared" si="6"/>
        <v>38.560000000000031</v>
      </c>
      <c r="G94" s="42">
        <f t="shared" si="5"/>
        <v>0</v>
      </c>
      <c r="H94" s="108"/>
      <c r="I94" s="109"/>
      <c r="J94" s="109"/>
      <c r="K94" s="109"/>
      <c r="L94" s="109"/>
      <c r="M94" s="109"/>
      <c r="N94" s="109"/>
      <c r="O94" s="84"/>
      <c r="P94" s="109"/>
      <c r="Q94" s="109"/>
      <c r="R94" s="109"/>
      <c r="S94" s="109"/>
      <c r="T94" s="109"/>
      <c r="U94" s="109"/>
    </row>
    <row r="95" spans="1:25" hidden="1">
      <c r="A95" s="107" t="s">
        <v>68</v>
      </c>
      <c r="B95" s="94" t="s">
        <v>13</v>
      </c>
      <c r="C95" s="76">
        <v>0</v>
      </c>
      <c r="D95" s="76">
        <v>0</v>
      </c>
      <c r="E95" s="75">
        <v>10</v>
      </c>
      <c r="F95" s="41">
        <f t="shared" si="6"/>
        <v>28.560000000000031</v>
      </c>
      <c r="G95" s="42">
        <f t="shared" si="5"/>
        <v>0</v>
      </c>
      <c r="H95" s="108"/>
      <c r="I95" s="109"/>
      <c r="J95" s="109"/>
      <c r="K95" s="109"/>
      <c r="L95" s="109"/>
      <c r="M95" s="109"/>
      <c r="N95" s="109"/>
      <c r="O95" s="84"/>
      <c r="P95" s="109"/>
      <c r="Q95" s="109"/>
      <c r="R95" s="109"/>
      <c r="S95" s="109"/>
      <c r="T95" s="109"/>
      <c r="U95" s="109"/>
    </row>
    <row r="96" spans="1:25" hidden="1">
      <c r="A96" s="107" t="s">
        <v>69</v>
      </c>
      <c r="B96" s="94" t="s">
        <v>13</v>
      </c>
      <c r="C96" s="76">
        <v>0</v>
      </c>
      <c r="D96" s="76">
        <v>0</v>
      </c>
      <c r="E96" s="75">
        <v>10</v>
      </c>
      <c r="F96" s="41">
        <f t="shared" si="6"/>
        <v>18.560000000000031</v>
      </c>
      <c r="G96" s="42">
        <f t="shared" si="5"/>
        <v>0</v>
      </c>
      <c r="H96" s="108"/>
      <c r="I96" s="109"/>
      <c r="J96" s="109"/>
      <c r="K96" s="109"/>
      <c r="L96" s="109"/>
      <c r="M96" s="109"/>
      <c r="N96" s="109"/>
      <c r="O96" s="84"/>
      <c r="P96" s="109"/>
      <c r="Q96" s="109"/>
      <c r="R96" s="109"/>
      <c r="S96" s="109"/>
      <c r="T96" s="109"/>
      <c r="U96" s="109"/>
    </row>
    <row r="97" spans="1:22" ht="16" hidden="1" thickBot="1">
      <c r="A97" s="103" t="s">
        <v>70</v>
      </c>
      <c r="B97" s="96" t="s">
        <v>13</v>
      </c>
      <c r="C97" s="90">
        <v>0</v>
      </c>
      <c r="D97" s="90">
        <v>0</v>
      </c>
      <c r="E97" s="89">
        <v>10</v>
      </c>
      <c r="F97" s="48">
        <f t="shared" si="6"/>
        <v>8.5600000000000307</v>
      </c>
      <c r="G97" s="49">
        <f t="shared" si="5"/>
        <v>0</v>
      </c>
      <c r="H97" s="108"/>
      <c r="I97" s="109"/>
      <c r="J97" s="109"/>
      <c r="K97" s="109"/>
      <c r="L97" s="109"/>
      <c r="M97" s="109"/>
      <c r="N97" s="109"/>
      <c r="O97" s="84"/>
      <c r="P97" s="109"/>
      <c r="Q97" s="109"/>
      <c r="R97" s="109"/>
      <c r="S97" s="109"/>
      <c r="T97" s="109"/>
      <c r="U97" s="109"/>
    </row>
    <row r="98" spans="1:22" ht="16" hidden="1" thickBot="1">
      <c r="A98" s="113">
        <v>42845</v>
      </c>
      <c r="B98" s="114"/>
      <c r="C98" s="115">
        <v>120</v>
      </c>
      <c r="D98" s="116">
        <v>0</v>
      </c>
      <c r="E98" s="116">
        <v>0</v>
      </c>
      <c r="F98" s="110">
        <f t="shared" si="6"/>
        <v>128.56000000000003</v>
      </c>
      <c r="G98" s="122"/>
      <c r="H98" s="123"/>
      <c r="O98" s="77"/>
    </row>
    <row r="99" spans="1:22" hidden="1">
      <c r="A99" s="101" t="s">
        <v>71</v>
      </c>
      <c r="B99" s="106" t="s">
        <v>13</v>
      </c>
      <c r="C99" s="102">
        <v>0</v>
      </c>
      <c r="D99" s="88">
        <v>8</v>
      </c>
      <c r="E99" s="93">
        <v>10</v>
      </c>
      <c r="F99" s="32">
        <f t="shared" si="6"/>
        <v>126.56000000000003</v>
      </c>
      <c r="G99" s="33">
        <f t="shared" si="5"/>
        <v>0.8</v>
      </c>
      <c r="V99" s="88" t="s">
        <v>30</v>
      </c>
    </row>
    <row r="100" spans="1:22" hidden="1">
      <c r="A100" s="107" t="s">
        <v>72</v>
      </c>
      <c r="B100" s="94" t="s">
        <v>13</v>
      </c>
      <c r="C100" s="76">
        <v>0</v>
      </c>
      <c r="D100" s="76">
        <v>0</v>
      </c>
      <c r="E100" s="75">
        <v>10</v>
      </c>
      <c r="F100" s="41">
        <f t="shared" si="6"/>
        <v>116.56000000000003</v>
      </c>
      <c r="G100" s="42">
        <f t="shared" si="5"/>
        <v>0</v>
      </c>
    </row>
    <row r="101" spans="1:22" hidden="1">
      <c r="A101" s="107" t="s">
        <v>73</v>
      </c>
      <c r="B101" s="94" t="s">
        <v>13</v>
      </c>
      <c r="C101" s="76">
        <v>0</v>
      </c>
      <c r="D101" s="76">
        <v>0</v>
      </c>
      <c r="E101" s="75">
        <v>10</v>
      </c>
      <c r="F101" s="41">
        <f t="shared" si="6"/>
        <v>106.56000000000003</v>
      </c>
      <c r="G101" s="42">
        <f t="shared" si="5"/>
        <v>0</v>
      </c>
    </row>
    <row r="102" spans="1:22" ht="16" hidden="1" thickBot="1">
      <c r="A102" s="103" t="s">
        <v>74</v>
      </c>
      <c r="B102" s="96" t="s">
        <v>13</v>
      </c>
      <c r="C102" s="90">
        <v>0</v>
      </c>
      <c r="D102" s="90">
        <v>0</v>
      </c>
      <c r="E102" s="89">
        <v>10</v>
      </c>
      <c r="F102" s="48">
        <f t="shared" ref="F102" si="9">F101+C102+D102-E102</f>
        <v>96.560000000000031</v>
      </c>
      <c r="G102" s="49">
        <f t="shared" si="5"/>
        <v>0</v>
      </c>
    </row>
    <row r="103" spans="1:22" ht="16" hidden="1" thickBot="1">
      <c r="A103" s="103" t="s">
        <v>76</v>
      </c>
      <c r="B103" s="96" t="s">
        <v>13</v>
      </c>
      <c r="C103" s="90">
        <v>0</v>
      </c>
      <c r="D103" s="90">
        <v>0</v>
      </c>
      <c r="E103" s="89">
        <v>10</v>
      </c>
      <c r="F103" s="48">
        <f t="shared" ref="F103" si="10">F102+C103+D103-E103</f>
        <v>86.560000000000031</v>
      </c>
      <c r="G103" s="49">
        <f t="shared" ref="G103" si="11">D103/E103</f>
        <v>0</v>
      </c>
    </row>
    <row r="104" spans="1:22" ht="16" hidden="1" thickBot="1">
      <c r="A104" s="103" t="s">
        <v>77</v>
      </c>
      <c r="B104" s="96" t="s">
        <v>13</v>
      </c>
      <c r="C104" s="90">
        <v>0</v>
      </c>
      <c r="D104" s="90">
        <v>0</v>
      </c>
      <c r="E104" s="89">
        <v>10</v>
      </c>
      <c r="F104" s="48">
        <f t="shared" ref="F104" si="12">F103+C104+D104-E104</f>
        <v>76.560000000000031</v>
      </c>
      <c r="G104" s="49">
        <f t="shared" ref="G104" si="13">D104/E104</f>
        <v>0</v>
      </c>
    </row>
    <row r="105" spans="1:22" ht="16" hidden="1" thickBot="1">
      <c r="A105" s="124" t="s">
        <v>80</v>
      </c>
      <c r="B105" s="96" t="s">
        <v>13</v>
      </c>
      <c r="C105" s="90">
        <v>0</v>
      </c>
      <c r="D105" s="90">
        <v>0</v>
      </c>
      <c r="E105" s="89">
        <v>10</v>
      </c>
      <c r="F105" s="48">
        <f t="shared" ref="F105:F107" si="14">F104+C105+D105-E105</f>
        <v>66.560000000000031</v>
      </c>
      <c r="G105" s="49">
        <f t="shared" ref="G105:G107" si="15">D105/E105</f>
        <v>0</v>
      </c>
    </row>
    <row r="106" spans="1:22" ht="16" hidden="1" thickBot="1">
      <c r="A106" s="124" t="s">
        <v>79</v>
      </c>
      <c r="B106" s="96" t="s">
        <v>13</v>
      </c>
      <c r="C106" s="90">
        <v>0</v>
      </c>
      <c r="D106" s="90">
        <v>0</v>
      </c>
      <c r="E106" s="89">
        <v>5</v>
      </c>
      <c r="F106" s="48">
        <f t="shared" si="14"/>
        <v>61.560000000000031</v>
      </c>
      <c r="G106" s="49">
        <f t="shared" si="15"/>
        <v>0</v>
      </c>
    </row>
    <row r="107" spans="1:22" ht="16" hidden="1" thickBot="1">
      <c r="A107" s="124" t="s">
        <v>78</v>
      </c>
      <c r="B107" s="96" t="s">
        <v>13</v>
      </c>
      <c r="C107" s="90">
        <v>0</v>
      </c>
      <c r="D107" s="90">
        <v>0</v>
      </c>
      <c r="E107" s="89">
        <v>10</v>
      </c>
      <c r="F107" s="48">
        <f t="shared" si="14"/>
        <v>51.560000000000031</v>
      </c>
      <c r="G107" s="49">
        <f t="shared" si="15"/>
        <v>0</v>
      </c>
    </row>
    <row r="108" spans="1:22" ht="16" hidden="1" thickBot="1">
      <c r="A108" s="124" t="s">
        <v>81</v>
      </c>
      <c r="B108" s="96" t="s">
        <v>13</v>
      </c>
      <c r="C108" s="90">
        <v>0</v>
      </c>
      <c r="D108" s="90">
        <v>0</v>
      </c>
      <c r="E108" s="89">
        <v>10</v>
      </c>
      <c r="F108" s="48">
        <f t="shared" ref="F108" si="16">F107+C108+D108-E108</f>
        <v>41.560000000000031</v>
      </c>
      <c r="G108" s="49">
        <f t="shared" ref="G108" si="17">D108/E108</f>
        <v>0</v>
      </c>
    </row>
    <row r="109" spans="1:22" ht="16" hidden="1" thickBot="1">
      <c r="A109" s="124" t="s">
        <v>84</v>
      </c>
      <c r="B109" s="96" t="s">
        <v>13</v>
      </c>
      <c r="C109" s="90">
        <v>0</v>
      </c>
      <c r="D109" s="88">
        <v>8</v>
      </c>
      <c r="E109" s="89">
        <v>10</v>
      </c>
      <c r="F109" s="48">
        <f t="shared" ref="F109:F113" si="18">F108+C109+D109-E109</f>
        <v>39.560000000000031</v>
      </c>
      <c r="G109" s="49">
        <f t="shared" ref="G109:G112" si="19">D109/E109</f>
        <v>0.8</v>
      </c>
      <c r="V109" s="88" t="s">
        <v>30</v>
      </c>
    </row>
    <row r="110" spans="1:22" ht="16" hidden="1" thickBot="1">
      <c r="A110" s="124" t="s">
        <v>82</v>
      </c>
      <c r="B110" s="96" t="s">
        <v>13</v>
      </c>
      <c r="C110" s="90">
        <v>0</v>
      </c>
      <c r="D110" s="88">
        <v>8</v>
      </c>
      <c r="E110" s="89">
        <v>10</v>
      </c>
      <c r="F110" s="48">
        <f t="shared" si="18"/>
        <v>37.560000000000031</v>
      </c>
      <c r="G110" s="49">
        <f t="shared" si="19"/>
        <v>0.8</v>
      </c>
      <c r="V110" s="88" t="s">
        <v>30</v>
      </c>
    </row>
    <row r="111" spans="1:22" ht="16" hidden="1" thickBot="1">
      <c r="A111" s="124" t="s">
        <v>83</v>
      </c>
      <c r="B111" s="96" t="s">
        <v>13</v>
      </c>
      <c r="C111" s="90">
        <v>0</v>
      </c>
      <c r="D111" s="88">
        <v>8</v>
      </c>
      <c r="E111" s="89">
        <v>10</v>
      </c>
      <c r="F111" s="48">
        <f t="shared" si="18"/>
        <v>35.560000000000031</v>
      </c>
      <c r="G111" s="49">
        <f t="shared" si="19"/>
        <v>0.8</v>
      </c>
      <c r="V111" s="88" t="s">
        <v>30</v>
      </c>
    </row>
    <row r="112" spans="1:22" ht="16" hidden="1" thickBot="1">
      <c r="A112" s="124" t="s">
        <v>85</v>
      </c>
      <c r="B112" s="96" t="s">
        <v>13</v>
      </c>
      <c r="C112" s="90">
        <v>0</v>
      </c>
      <c r="D112" s="90">
        <v>0</v>
      </c>
      <c r="E112" s="89">
        <v>10</v>
      </c>
      <c r="F112" s="48">
        <f t="shared" si="18"/>
        <v>25.560000000000031</v>
      </c>
      <c r="G112" s="49">
        <f t="shared" si="19"/>
        <v>0</v>
      </c>
    </row>
    <row r="113" spans="1:22" ht="16" hidden="1" thickBot="1">
      <c r="A113" s="124" t="s">
        <v>86</v>
      </c>
      <c r="B113" s="96" t="s">
        <v>13</v>
      </c>
      <c r="C113" s="90">
        <v>0</v>
      </c>
      <c r="D113" s="90">
        <v>0</v>
      </c>
      <c r="E113" s="89">
        <v>10</v>
      </c>
      <c r="F113" s="48">
        <f t="shared" si="18"/>
        <v>15.560000000000031</v>
      </c>
      <c r="G113" s="49">
        <f t="shared" ref="G113" si="20">D113/E113</f>
        <v>0</v>
      </c>
    </row>
    <row r="114" spans="1:22" ht="16" hidden="1" thickBot="1">
      <c r="A114" s="124" t="s">
        <v>87</v>
      </c>
      <c r="B114" s="96" t="s">
        <v>13</v>
      </c>
      <c r="C114" s="90">
        <v>0</v>
      </c>
      <c r="D114" s="90">
        <v>0</v>
      </c>
      <c r="E114" s="89">
        <v>10</v>
      </c>
      <c r="F114" s="48">
        <f t="shared" ref="F114:F115" si="21">F113+C114+D114-E114</f>
        <v>5.5600000000000307</v>
      </c>
      <c r="G114" s="49">
        <f t="shared" ref="G114" si="22">D114/E114</f>
        <v>0</v>
      </c>
    </row>
    <row r="115" spans="1:22" hidden="1">
      <c r="A115" s="113">
        <v>42957</v>
      </c>
      <c r="B115" s="114"/>
      <c r="C115" s="115">
        <v>120</v>
      </c>
      <c r="D115" s="116">
        <v>0</v>
      </c>
      <c r="E115" s="116">
        <v>0</v>
      </c>
      <c r="F115" s="110">
        <f t="shared" si="21"/>
        <v>125.56000000000003</v>
      </c>
      <c r="G115" s="122"/>
    </row>
    <row r="116" spans="1:22" ht="16" hidden="1" thickBot="1">
      <c r="A116" s="124" t="s">
        <v>88</v>
      </c>
      <c r="B116" s="96" t="s">
        <v>13</v>
      </c>
      <c r="C116" s="90">
        <v>0</v>
      </c>
      <c r="D116" s="90">
        <v>0</v>
      </c>
      <c r="E116" s="89">
        <v>10</v>
      </c>
      <c r="F116" s="48">
        <f t="shared" ref="F116" si="23">F115+C116+D116-E116</f>
        <v>115.56000000000003</v>
      </c>
      <c r="G116" s="49">
        <f t="shared" ref="G116" si="24">D116/E116</f>
        <v>0</v>
      </c>
    </row>
    <row r="117" spans="1:22" ht="16" hidden="1" thickBot="1">
      <c r="A117" s="124">
        <v>42966</v>
      </c>
      <c r="B117" s="96" t="s">
        <v>13</v>
      </c>
      <c r="C117" s="90">
        <v>0</v>
      </c>
      <c r="D117" s="90">
        <v>0</v>
      </c>
      <c r="E117" s="89">
        <v>5</v>
      </c>
      <c r="F117" s="48">
        <f t="shared" ref="F117" si="25">F116+C117+D117-E117</f>
        <v>110.56000000000003</v>
      </c>
      <c r="G117" s="49">
        <f t="shared" ref="G117" si="26">D117/E117</f>
        <v>0</v>
      </c>
    </row>
    <row r="118" spans="1:22" ht="16" hidden="1" thickBot="1">
      <c r="A118" s="124" t="s">
        <v>89</v>
      </c>
      <c r="B118" s="96" t="s">
        <v>13</v>
      </c>
      <c r="C118" s="90">
        <v>0</v>
      </c>
      <c r="D118" s="88">
        <v>5</v>
      </c>
      <c r="E118" s="89">
        <v>10</v>
      </c>
      <c r="F118" s="48">
        <f t="shared" ref="F118" si="27">F117+C118+D118-E118</f>
        <v>105.56000000000003</v>
      </c>
      <c r="G118" s="49">
        <f t="shared" ref="G118" si="28">D118/E118</f>
        <v>0.5</v>
      </c>
      <c r="V118" s="88" t="s">
        <v>37</v>
      </c>
    </row>
    <row r="119" spans="1:22" ht="16" hidden="1" thickBot="1">
      <c r="A119" s="124" t="s">
        <v>90</v>
      </c>
      <c r="B119" s="96" t="s">
        <v>13</v>
      </c>
      <c r="C119" s="90">
        <v>0</v>
      </c>
      <c r="D119" s="88">
        <v>5</v>
      </c>
      <c r="E119" s="89">
        <v>10</v>
      </c>
      <c r="F119" s="48">
        <f t="shared" ref="F119" si="29">F118+C119+D119-E119</f>
        <v>100.56000000000003</v>
      </c>
      <c r="G119" s="49">
        <f t="shared" ref="G119" si="30">D119/E119</f>
        <v>0.5</v>
      </c>
      <c r="V119" s="88" t="s">
        <v>37</v>
      </c>
    </row>
    <row r="120" spans="1:22" ht="16" hidden="1" thickBot="1">
      <c r="A120" s="124" t="s">
        <v>91</v>
      </c>
      <c r="B120" s="96" t="s">
        <v>13</v>
      </c>
      <c r="C120" s="90">
        <v>0</v>
      </c>
      <c r="D120" s="90">
        <v>0</v>
      </c>
      <c r="E120" s="89">
        <v>10</v>
      </c>
      <c r="F120" s="48">
        <f t="shared" ref="F120" si="31">F119+C120+D120-E120</f>
        <v>90.560000000000031</v>
      </c>
      <c r="G120" s="49">
        <f t="shared" ref="G120" si="32">D120/E120</f>
        <v>0</v>
      </c>
    </row>
    <row r="121" spans="1:22" ht="16" hidden="1" thickBot="1">
      <c r="A121" s="124" t="s">
        <v>92</v>
      </c>
      <c r="B121" s="96" t="s">
        <v>13</v>
      </c>
      <c r="C121" s="90">
        <v>0</v>
      </c>
      <c r="D121" s="88">
        <v>8</v>
      </c>
      <c r="E121" s="89">
        <v>10</v>
      </c>
      <c r="F121" s="48">
        <f t="shared" ref="F121" si="33">F120+C121+D121-E121</f>
        <v>88.560000000000031</v>
      </c>
      <c r="G121" s="49">
        <f t="shared" ref="G121" si="34">D121/E121</f>
        <v>0.8</v>
      </c>
      <c r="V121" s="88" t="s">
        <v>30</v>
      </c>
    </row>
    <row r="122" spans="1:22" ht="16" hidden="1" thickBot="1">
      <c r="A122" s="124" t="s">
        <v>44</v>
      </c>
      <c r="B122" s="96" t="s">
        <v>13</v>
      </c>
      <c r="C122" s="90">
        <v>0</v>
      </c>
      <c r="D122" s="88">
        <v>5</v>
      </c>
      <c r="E122" s="89">
        <v>10</v>
      </c>
      <c r="F122" s="48">
        <f t="shared" ref="F122" si="35">F121+C122+D122-E122</f>
        <v>83.560000000000031</v>
      </c>
      <c r="G122" s="49">
        <f t="shared" ref="G122" si="36">D122/E122</f>
        <v>0.5</v>
      </c>
      <c r="V122" s="88" t="s">
        <v>37</v>
      </c>
    </row>
    <row r="123" spans="1:22" ht="16" hidden="1" thickBot="1">
      <c r="A123" s="124" t="s">
        <v>93</v>
      </c>
      <c r="B123" s="96" t="s">
        <v>13</v>
      </c>
      <c r="C123" s="90">
        <v>0</v>
      </c>
      <c r="D123" s="90">
        <v>0</v>
      </c>
      <c r="E123" s="89">
        <v>10</v>
      </c>
      <c r="F123" s="48">
        <f t="shared" ref="F123" si="37">F122+C123+D123-E123</f>
        <v>73.560000000000031</v>
      </c>
      <c r="G123" s="49">
        <f t="shared" ref="G123" si="38">D123/E123</f>
        <v>0</v>
      </c>
    </row>
    <row r="124" spans="1:22" ht="16" hidden="1" thickBot="1">
      <c r="A124" s="124" t="s">
        <v>94</v>
      </c>
      <c r="B124" s="96" t="s">
        <v>13</v>
      </c>
      <c r="C124" s="90">
        <v>0</v>
      </c>
      <c r="D124" s="90">
        <v>0</v>
      </c>
      <c r="E124" s="89">
        <v>10</v>
      </c>
      <c r="F124" s="48">
        <f t="shared" ref="F124" si="39">F123+C124+D124-E124</f>
        <v>63.560000000000031</v>
      </c>
      <c r="G124" s="49">
        <f t="shared" ref="G124" si="40">D124/E124</f>
        <v>0</v>
      </c>
    </row>
    <row r="125" spans="1:22" ht="16" hidden="1" thickBot="1">
      <c r="A125" s="124">
        <v>43022</v>
      </c>
      <c r="B125" s="96" t="s">
        <v>13</v>
      </c>
      <c r="C125" s="90">
        <v>0</v>
      </c>
      <c r="D125" s="88">
        <v>5</v>
      </c>
      <c r="E125" s="89">
        <v>5</v>
      </c>
      <c r="F125" s="48">
        <f t="shared" ref="F125" si="41">F124+C125+D125-E125</f>
        <v>63.560000000000031</v>
      </c>
      <c r="G125" s="49">
        <f t="shared" ref="G125" si="42">D125/E125</f>
        <v>1</v>
      </c>
      <c r="V125" s="88" t="s">
        <v>37</v>
      </c>
    </row>
    <row r="126" spans="1:22" ht="16" hidden="1" thickBot="1">
      <c r="A126" s="124" t="s">
        <v>95</v>
      </c>
      <c r="B126" s="96" t="s">
        <v>13</v>
      </c>
      <c r="C126" s="90">
        <v>0</v>
      </c>
      <c r="D126" s="88">
        <v>5</v>
      </c>
      <c r="E126" s="89">
        <v>10</v>
      </c>
      <c r="F126" s="48">
        <f t="shared" ref="F126" si="43">F125+C126+D126-E126</f>
        <v>58.560000000000031</v>
      </c>
      <c r="G126" s="49">
        <f t="shared" ref="G126" si="44">D126/E126</f>
        <v>0.5</v>
      </c>
      <c r="V126" s="88" t="s">
        <v>37</v>
      </c>
    </row>
    <row r="127" spans="1:22" ht="16" hidden="1" thickBot="1">
      <c r="A127" s="124" t="s">
        <v>96</v>
      </c>
      <c r="B127" s="96" t="s">
        <v>13</v>
      </c>
      <c r="C127" s="90">
        <v>0</v>
      </c>
      <c r="D127" s="90">
        <v>0</v>
      </c>
      <c r="E127" s="89">
        <v>10</v>
      </c>
      <c r="F127" s="48">
        <f t="shared" ref="F127" si="45">F126+C127+D127-E127</f>
        <v>48.560000000000031</v>
      </c>
      <c r="G127" s="49">
        <f t="shared" ref="G127" si="46">D127/E127</f>
        <v>0</v>
      </c>
    </row>
    <row r="128" spans="1:22" ht="16" hidden="1" thickBot="1">
      <c r="A128" s="124" t="s">
        <v>97</v>
      </c>
      <c r="B128" s="96" t="s">
        <v>13</v>
      </c>
      <c r="C128" s="90">
        <v>0</v>
      </c>
      <c r="D128" s="90">
        <v>0</v>
      </c>
      <c r="E128" s="89">
        <v>10</v>
      </c>
      <c r="F128" s="48">
        <f t="shared" ref="F128" si="47">F127+C128+D128-E128</f>
        <v>38.560000000000031</v>
      </c>
      <c r="G128" s="49">
        <f t="shared" ref="G128" si="48">D128/E128</f>
        <v>0</v>
      </c>
    </row>
    <row r="129" spans="1:24" ht="16" hidden="1" thickBot="1">
      <c r="A129" s="124" t="s">
        <v>98</v>
      </c>
      <c r="B129" s="96" t="s">
        <v>13</v>
      </c>
      <c r="C129" s="90">
        <v>0</v>
      </c>
      <c r="D129" s="88">
        <v>8</v>
      </c>
      <c r="E129" s="89">
        <v>10</v>
      </c>
      <c r="F129" s="48">
        <f t="shared" ref="F129" si="49">F128+C129+D129-E129</f>
        <v>36.560000000000031</v>
      </c>
      <c r="G129" s="49">
        <f t="shared" ref="G129" si="50">D129/E129</f>
        <v>0.8</v>
      </c>
      <c r="V129" s="88" t="s">
        <v>30</v>
      </c>
    </row>
    <row r="130" spans="1:24" ht="16" hidden="1" thickBot="1">
      <c r="A130" s="124" t="s">
        <v>99</v>
      </c>
      <c r="B130" s="96" t="s">
        <v>13</v>
      </c>
      <c r="C130" s="90">
        <v>0</v>
      </c>
      <c r="D130" s="88">
        <v>8</v>
      </c>
      <c r="E130" s="89">
        <v>10</v>
      </c>
      <c r="F130" s="48">
        <f t="shared" ref="F130" si="51">F129+C130+D130-E130</f>
        <v>34.560000000000031</v>
      </c>
      <c r="G130" s="49">
        <f t="shared" ref="G130" si="52">D130/E130</f>
        <v>0.8</v>
      </c>
      <c r="V130" s="88" t="s">
        <v>30</v>
      </c>
    </row>
    <row r="131" spans="1:24" ht="16" hidden="1" thickBot="1">
      <c r="A131" s="124" t="s">
        <v>100</v>
      </c>
      <c r="B131" s="96" t="s">
        <v>13</v>
      </c>
      <c r="C131" s="90">
        <v>0</v>
      </c>
      <c r="D131" s="90">
        <v>0</v>
      </c>
      <c r="E131" s="89">
        <v>10</v>
      </c>
      <c r="F131" s="48">
        <f t="shared" ref="F131" si="53">F130+C131+D131-E131</f>
        <v>24.560000000000031</v>
      </c>
      <c r="G131" s="49">
        <f t="shared" ref="G131" si="54">D131/E131</f>
        <v>0</v>
      </c>
    </row>
    <row r="132" spans="1:24" ht="16" hidden="1" thickBot="1">
      <c r="A132" s="124" t="s">
        <v>101</v>
      </c>
      <c r="B132" s="96" t="s">
        <v>13</v>
      </c>
      <c r="C132" s="90">
        <v>0</v>
      </c>
      <c r="D132" s="90">
        <v>0</v>
      </c>
      <c r="E132" s="89">
        <v>10</v>
      </c>
      <c r="F132" s="48">
        <f t="shared" ref="F132" si="55">F131+C132+D132-E132</f>
        <v>14.560000000000031</v>
      </c>
      <c r="G132" s="49">
        <f t="shared" ref="G132" si="56">D132/E132</f>
        <v>0</v>
      </c>
    </row>
    <row r="133" spans="1:24" ht="16" hidden="1" thickBot="1">
      <c r="A133" s="124" t="s">
        <v>102</v>
      </c>
      <c r="B133" s="96" t="s">
        <v>13</v>
      </c>
      <c r="C133" s="90">
        <v>0</v>
      </c>
      <c r="D133" s="90">
        <v>0</v>
      </c>
      <c r="E133" s="89">
        <v>10</v>
      </c>
      <c r="F133" s="48">
        <f t="shared" ref="F133" si="57">F132+C133+D133-E133</f>
        <v>4.5600000000000307</v>
      </c>
      <c r="G133" s="49">
        <f t="shared" ref="G133" si="58">D133/E133</f>
        <v>0</v>
      </c>
    </row>
    <row r="134" spans="1:24" hidden="1">
      <c r="A134" s="125" t="s">
        <v>103</v>
      </c>
      <c r="B134" s="126" t="s">
        <v>13</v>
      </c>
      <c r="C134" s="127">
        <v>0</v>
      </c>
      <c r="D134" s="127">
        <v>0</v>
      </c>
      <c r="E134" s="128">
        <v>4</v>
      </c>
      <c r="F134" s="129">
        <f t="shared" ref="F134:F135" si="59">F133+C134+D134-E134</f>
        <v>0.5600000000000307</v>
      </c>
      <c r="G134" s="130">
        <f t="shared" ref="G134" si="60">D134/E134</f>
        <v>0</v>
      </c>
    </row>
    <row r="135" spans="1:24">
      <c r="A135" s="131">
        <v>43126</v>
      </c>
      <c r="B135" s="132"/>
      <c r="C135" s="133">
        <v>20</v>
      </c>
      <c r="D135" s="134">
        <v>0</v>
      </c>
      <c r="E135" s="134">
        <v>0</v>
      </c>
      <c r="F135" s="41">
        <f t="shared" si="59"/>
        <v>20.560000000000031</v>
      </c>
      <c r="G135" s="135"/>
      <c r="V135" t="s">
        <v>0</v>
      </c>
      <c r="X135" t="s">
        <v>106</v>
      </c>
    </row>
    <row r="136" spans="1:24">
      <c r="A136" s="136">
        <v>43126</v>
      </c>
      <c r="B136" s="94" t="s">
        <v>14</v>
      </c>
      <c r="C136" s="76">
        <v>0</v>
      </c>
      <c r="D136" s="88">
        <v>8.8800000000000008</v>
      </c>
      <c r="E136" s="75">
        <v>10</v>
      </c>
      <c r="F136" s="41">
        <f>F135+C136+D136-E136</f>
        <v>19.440000000000033</v>
      </c>
      <c r="G136" s="137">
        <f t="shared" ref="G136" si="61">D136/E136</f>
        <v>0.88800000000000012</v>
      </c>
      <c r="V136" s="88" t="s">
        <v>104</v>
      </c>
    </row>
    <row r="137" spans="1:24">
      <c r="A137" s="138">
        <v>43133</v>
      </c>
      <c r="B137" s="94" t="s">
        <v>14</v>
      </c>
      <c r="C137" s="76">
        <v>0</v>
      </c>
      <c r="D137" s="76">
        <v>0</v>
      </c>
      <c r="E137" s="75">
        <v>10</v>
      </c>
      <c r="F137" s="41">
        <f>F136+C137+D137-E137</f>
        <v>9.4400000000000333</v>
      </c>
      <c r="G137" s="137">
        <f t="shared" ref="G137" si="62">D137/E137</f>
        <v>0</v>
      </c>
    </row>
    <row r="138" spans="1:24">
      <c r="A138" s="138">
        <v>43140</v>
      </c>
      <c r="B138" s="94" t="s">
        <v>14</v>
      </c>
      <c r="C138" s="76">
        <v>0</v>
      </c>
      <c r="D138" s="76">
        <v>0</v>
      </c>
      <c r="E138" s="75">
        <v>10</v>
      </c>
      <c r="F138" s="41">
        <f>F137+C138+D138-E138</f>
        <v>-0.55999999999996675</v>
      </c>
      <c r="G138" s="137">
        <f t="shared" ref="G138" si="63">D138/E138</f>
        <v>0</v>
      </c>
    </row>
    <row r="139" spans="1:24">
      <c r="A139" s="131">
        <v>43147</v>
      </c>
      <c r="B139" s="132"/>
      <c r="C139" s="133">
        <v>100</v>
      </c>
      <c r="D139" s="134">
        <v>0</v>
      </c>
      <c r="E139" s="134">
        <v>0</v>
      </c>
      <c r="F139" s="41">
        <f t="shared" ref="F139" si="64">F138+C139+D139-E139</f>
        <v>99.440000000000026</v>
      </c>
      <c r="G139" s="135"/>
    </row>
    <row r="140" spans="1:24">
      <c r="A140" s="138">
        <v>43147</v>
      </c>
      <c r="B140" s="94" t="s">
        <v>14</v>
      </c>
      <c r="C140" s="76">
        <v>0</v>
      </c>
      <c r="D140" s="76">
        <v>0</v>
      </c>
      <c r="E140" s="75">
        <v>10</v>
      </c>
      <c r="F140" s="41">
        <f t="shared" ref="F140:F145" si="65">F139+C140+D140-E140</f>
        <v>89.440000000000026</v>
      </c>
      <c r="G140" s="137">
        <f t="shared" ref="G140" si="66">D140/E140</f>
        <v>0</v>
      </c>
    </row>
    <row r="141" spans="1:24">
      <c r="A141" s="138">
        <v>43154</v>
      </c>
      <c r="B141" s="94" t="s">
        <v>14</v>
      </c>
      <c r="C141" s="76">
        <v>0</v>
      </c>
      <c r="D141" s="76">
        <v>0</v>
      </c>
      <c r="E141" s="75">
        <v>10</v>
      </c>
      <c r="F141" s="41">
        <f t="shared" si="65"/>
        <v>79.440000000000026</v>
      </c>
      <c r="G141" s="137">
        <f t="shared" ref="G141" si="67">D141/E141</f>
        <v>0</v>
      </c>
    </row>
    <row r="142" spans="1:24">
      <c r="A142" s="138">
        <v>43161</v>
      </c>
      <c r="B142" s="94" t="s">
        <v>14</v>
      </c>
      <c r="C142" s="76">
        <v>0</v>
      </c>
      <c r="D142" s="88">
        <v>4.38</v>
      </c>
      <c r="E142" s="75">
        <v>10</v>
      </c>
      <c r="F142" s="41">
        <f t="shared" si="65"/>
        <v>73.820000000000022</v>
      </c>
      <c r="G142" s="137">
        <f t="shared" ref="G142:G143" si="68">D142/E142</f>
        <v>0.438</v>
      </c>
      <c r="V142" s="139" t="s">
        <v>104</v>
      </c>
    </row>
    <row r="143" spans="1:24">
      <c r="A143" s="138">
        <v>43168</v>
      </c>
      <c r="B143" s="94" t="s">
        <v>14</v>
      </c>
      <c r="C143" s="76">
        <v>0</v>
      </c>
      <c r="D143" s="76">
        <v>0</v>
      </c>
      <c r="E143" s="75">
        <v>10</v>
      </c>
      <c r="F143" s="41">
        <f t="shared" si="65"/>
        <v>63.820000000000022</v>
      </c>
      <c r="G143" s="137">
        <f t="shared" si="68"/>
        <v>0</v>
      </c>
    </row>
    <row r="144" spans="1:24">
      <c r="A144" s="138">
        <v>43175</v>
      </c>
      <c r="B144" s="94" t="s">
        <v>14</v>
      </c>
      <c r="C144" s="76">
        <v>0</v>
      </c>
      <c r="D144" s="88">
        <v>3.55</v>
      </c>
      <c r="E144" s="75">
        <v>10</v>
      </c>
      <c r="F144" s="41">
        <f t="shared" si="65"/>
        <v>57.370000000000019</v>
      </c>
      <c r="G144" s="137">
        <f t="shared" ref="G144:G145" si="69">D144/E144</f>
        <v>0.35499999999999998</v>
      </c>
      <c r="V144" s="139" t="s">
        <v>104</v>
      </c>
    </row>
    <row r="145" spans="1:22">
      <c r="A145" s="138">
        <v>43182</v>
      </c>
      <c r="B145" s="94" t="s">
        <v>14</v>
      </c>
      <c r="C145" s="76">
        <v>0</v>
      </c>
      <c r="D145" s="76">
        <v>0</v>
      </c>
      <c r="E145" s="75">
        <v>10</v>
      </c>
      <c r="F145" s="41">
        <f t="shared" si="65"/>
        <v>47.370000000000019</v>
      </c>
      <c r="G145" s="137">
        <f t="shared" si="69"/>
        <v>0</v>
      </c>
    </row>
    <row r="146" spans="1:22">
      <c r="A146" s="138">
        <v>43189</v>
      </c>
      <c r="B146" s="94" t="s">
        <v>14</v>
      </c>
      <c r="C146" s="76">
        <v>0</v>
      </c>
      <c r="D146" s="88">
        <v>11.94</v>
      </c>
      <c r="E146" s="75">
        <v>10</v>
      </c>
      <c r="F146" s="41">
        <f t="shared" ref="F146:F147" si="70">F145+C146+D146-E146</f>
        <v>49.310000000000016</v>
      </c>
      <c r="G146" s="137">
        <f t="shared" ref="G146:G147" si="71">D146/E146</f>
        <v>1.194</v>
      </c>
      <c r="V146" s="139" t="s">
        <v>105</v>
      </c>
    </row>
    <row r="147" spans="1:22">
      <c r="A147" s="138">
        <v>43196</v>
      </c>
      <c r="B147" s="94" t="s">
        <v>14</v>
      </c>
      <c r="C147" s="76">
        <v>0</v>
      </c>
      <c r="D147" s="76">
        <v>0</v>
      </c>
      <c r="E147" s="75">
        <v>10</v>
      </c>
      <c r="F147" s="41">
        <f t="shared" si="70"/>
        <v>39.310000000000016</v>
      </c>
      <c r="G147" s="137">
        <f t="shared" si="71"/>
        <v>0</v>
      </c>
    </row>
    <row r="148" spans="1:22">
      <c r="A148" s="138">
        <v>43203</v>
      </c>
      <c r="B148" s="94" t="s">
        <v>14</v>
      </c>
      <c r="C148" s="76">
        <v>0</v>
      </c>
      <c r="D148" s="76">
        <v>0</v>
      </c>
      <c r="E148" s="75">
        <v>10</v>
      </c>
      <c r="F148" s="41">
        <f t="shared" ref="F148" si="72">F147+C148+D148-E148</f>
        <v>29.310000000000016</v>
      </c>
      <c r="G148" s="137">
        <f t="shared" ref="G148" si="73">D148/E148</f>
        <v>0</v>
      </c>
    </row>
    <row r="149" spans="1:22">
      <c r="A149" s="138">
        <v>43210</v>
      </c>
      <c r="B149" s="94" t="s">
        <v>14</v>
      </c>
      <c r="C149" s="76">
        <v>0</v>
      </c>
      <c r="D149" s="88">
        <v>8.14</v>
      </c>
      <c r="E149" s="75">
        <v>10</v>
      </c>
      <c r="F149" s="41">
        <f t="shared" ref="F149" si="74">F148+C149+D149-E149</f>
        <v>27.450000000000017</v>
      </c>
      <c r="G149" s="137">
        <f t="shared" ref="G149" si="75">D149/E149</f>
        <v>0.81400000000000006</v>
      </c>
      <c r="V149" s="139" t="s">
        <v>105</v>
      </c>
    </row>
    <row r="150" spans="1:22">
      <c r="A150" s="138">
        <v>43217</v>
      </c>
      <c r="B150" s="94" t="s">
        <v>14</v>
      </c>
      <c r="C150" s="76">
        <v>0</v>
      </c>
      <c r="D150" s="88">
        <v>4.8600000000000003</v>
      </c>
      <c r="E150" s="75">
        <v>10</v>
      </c>
      <c r="F150" s="41">
        <f t="shared" ref="F150" si="76">F149+C150+D150-E150</f>
        <v>22.310000000000016</v>
      </c>
      <c r="G150" s="137">
        <f t="shared" ref="G150" si="77">D150/E150</f>
        <v>0.48600000000000004</v>
      </c>
      <c r="V150" s="139" t="s">
        <v>104</v>
      </c>
    </row>
    <row r="151" spans="1:22">
      <c r="A151" s="138">
        <v>43224</v>
      </c>
      <c r="B151" s="94" t="s">
        <v>14</v>
      </c>
      <c r="C151" s="76">
        <v>0</v>
      </c>
      <c r="D151" s="76">
        <v>0</v>
      </c>
      <c r="E151" s="75">
        <v>10</v>
      </c>
      <c r="F151" s="41">
        <f t="shared" ref="F151" si="78">F150+C151+D151-E151</f>
        <v>12.310000000000016</v>
      </c>
      <c r="G151" s="137">
        <f t="shared" ref="G151" si="79">D151/E151</f>
        <v>0</v>
      </c>
    </row>
    <row r="152" spans="1:22">
      <c r="A152" s="138">
        <v>43238</v>
      </c>
      <c r="B152" s="94" t="s">
        <v>14</v>
      </c>
      <c r="C152" s="76">
        <v>0</v>
      </c>
      <c r="D152" s="88">
        <v>11.52</v>
      </c>
      <c r="E152" s="75">
        <v>10</v>
      </c>
      <c r="F152" s="41">
        <f t="shared" ref="F152" si="80">F151+C152+D152-E152</f>
        <v>13.830000000000016</v>
      </c>
      <c r="G152" s="137">
        <f t="shared" ref="G152" si="81">D152/E152</f>
        <v>1.1519999999999999</v>
      </c>
      <c r="V152" s="139" t="s">
        <v>105</v>
      </c>
    </row>
    <row r="153" spans="1:22">
      <c r="A153" s="138">
        <v>43252</v>
      </c>
      <c r="B153" s="94" t="s">
        <v>14</v>
      </c>
      <c r="C153" s="76">
        <v>0</v>
      </c>
      <c r="D153" s="76">
        <v>0</v>
      </c>
      <c r="E153" s="75">
        <v>10</v>
      </c>
      <c r="F153" s="41">
        <f t="shared" ref="F153" si="82">F152+C153+D153-E153</f>
        <v>3.8300000000000161</v>
      </c>
      <c r="G153" s="137">
        <f t="shared" ref="G153" si="83">D153/E153</f>
        <v>0</v>
      </c>
    </row>
    <row r="154" spans="1:22" ht="16" thickBot="1">
      <c r="A154" s="97" t="s">
        <v>15</v>
      </c>
      <c r="B154" s="98"/>
      <c r="C154" s="99">
        <f ca="1">SUM(C5:OFFSET(C154,-1,0,1))</f>
        <v>1360.71</v>
      </c>
      <c r="D154" s="99">
        <f ca="1">SUM(D5:OFFSET(D154,-1,0,1))</f>
        <v>383.12</v>
      </c>
      <c r="E154" s="99">
        <f ca="1">SUM(E5:OFFSET(E154,-1,0,1))</f>
        <v>1740</v>
      </c>
      <c r="F154" s="100">
        <f ca="1">OFFSET(F154,-1,0,1)</f>
        <v>3.8300000000000161</v>
      </c>
      <c r="G154" s="121">
        <f t="shared" ca="1" si="5"/>
        <v>0.22018390804597701</v>
      </c>
    </row>
    <row r="156" spans="1:22">
      <c r="V156" t="s">
        <v>0</v>
      </c>
    </row>
    <row r="157" spans="1:22">
      <c r="C157" s="9" t="s">
        <v>0</v>
      </c>
    </row>
    <row r="160" spans="1:22">
      <c r="G160" s="120"/>
    </row>
    <row r="162" spans="2:22">
      <c r="H162"/>
      <c r="O162"/>
      <c r="V162" t="s">
        <v>0</v>
      </c>
    </row>
    <row r="165" spans="2:22">
      <c r="B165"/>
      <c r="C165"/>
      <c r="D165"/>
      <c r="E165"/>
      <c r="F165"/>
      <c r="G165"/>
    </row>
  </sheetData>
  <mergeCells count="2">
    <mergeCell ref="I3:N3"/>
    <mergeCell ref="P3:U3"/>
  </mergeCells>
  <phoneticPr fontId="5" type="noConversion"/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 enableFormatConditionsCalculation="0"/>
  <dimension ref="A1:I7"/>
  <sheetViews>
    <sheetView workbookViewId="0">
      <selection sqref="A1:I5"/>
    </sheetView>
  </sheetViews>
  <sheetFormatPr baseColWidth="10" defaultColWidth="14.5" defaultRowHeight="12.75" customHeight="1" x14ac:dyDescent="0"/>
  <cols>
    <col min="1" max="1" width="13" style="2" customWidth="1"/>
    <col min="2" max="7" width="4.5" style="2" customWidth="1"/>
    <col min="8" max="8" width="8.6640625" style="2" customWidth="1"/>
    <col min="9" max="9" width="11.1640625" style="2" customWidth="1"/>
    <col min="10" max="10" width="14.5" style="2" customWidth="1"/>
    <col min="11" max="16384" width="14.5" style="2"/>
  </cols>
  <sheetData>
    <row r="1" spans="1:9" ht="15">
      <c r="A1" s="143" t="s">
        <v>1</v>
      </c>
      <c r="B1" s="144"/>
      <c r="C1" s="144"/>
      <c r="D1" s="144"/>
      <c r="E1" s="144"/>
      <c r="F1" s="144"/>
      <c r="G1" s="144"/>
      <c r="H1" s="144"/>
      <c r="I1" s="144"/>
    </row>
    <row r="2" spans="1:9" ht="15">
      <c r="A2" s="144"/>
      <c r="B2" s="144"/>
      <c r="C2" s="144"/>
      <c r="D2" s="144"/>
      <c r="E2" s="144"/>
      <c r="F2" s="144"/>
      <c r="G2" s="144"/>
      <c r="H2" s="144"/>
      <c r="I2" s="144"/>
    </row>
    <row r="3" spans="1:9" ht="15">
      <c r="A3" s="144"/>
      <c r="B3" s="144"/>
      <c r="C3" s="144"/>
      <c r="D3" s="144"/>
      <c r="E3" s="144"/>
      <c r="F3" s="144"/>
      <c r="G3" s="144"/>
      <c r="H3" s="144"/>
      <c r="I3" s="144"/>
    </row>
    <row r="4" spans="1:9" ht="15">
      <c r="A4" s="144"/>
      <c r="B4" s="144"/>
      <c r="C4" s="144"/>
      <c r="D4" s="144"/>
      <c r="E4" s="144"/>
      <c r="F4" s="144"/>
      <c r="G4" s="144"/>
      <c r="H4" s="144"/>
      <c r="I4" s="144"/>
    </row>
    <row r="5" spans="1:9" ht="15">
      <c r="A5" s="144"/>
      <c r="B5" s="144"/>
      <c r="C5" s="144"/>
      <c r="D5" s="144"/>
      <c r="E5" s="144"/>
      <c r="F5" s="144"/>
      <c r="G5" s="144"/>
      <c r="H5" s="144"/>
      <c r="I5" s="144"/>
    </row>
    <row r="6" spans="1:9" ht="15">
      <c r="A6" s="145" t="s">
        <v>2</v>
      </c>
      <c r="B6" s="144"/>
      <c r="C6" s="144"/>
      <c r="D6" s="144"/>
      <c r="E6" s="144"/>
      <c r="F6" s="144"/>
      <c r="G6" s="144"/>
      <c r="H6" s="144"/>
      <c r="I6" s="144"/>
    </row>
    <row r="7" spans="1:9" ht="15">
      <c r="A7" s="144"/>
      <c r="B7" s="144"/>
      <c r="C7" s="144"/>
      <c r="D7" s="144"/>
      <c r="E7" s="144"/>
      <c r="F7" s="144"/>
      <c r="G7" s="144"/>
      <c r="H7" s="144"/>
      <c r="I7" s="144"/>
    </row>
  </sheetData>
  <mergeCells count="2">
    <mergeCell ref="A1:I5"/>
    <mergeCell ref="A6:I7"/>
  </mergeCells>
  <hyperlinks>
    <hyperlink ref="A1" r:id="rId1"/>
  </hyperlink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Cuentas</vt:lpstr>
      <vt:lpstr>lotoideas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aleo cano</dc:creator>
  <cp:lastModifiedBy>Jose  Aleo</cp:lastModifiedBy>
  <cp:lastPrinted>2016-01-07T16:20:49Z</cp:lastPrinted>
  <dcterms:created xsi:type="dcterms:W3CDTF">2015-10-23T17:16:41Z</dcterms:created>
  <dcterms:modified xsi:type="dcterms:W3CDTF">2018-06-01T11:49:27Z</dcterms:modified>
</cp:coreProperties>
</file>